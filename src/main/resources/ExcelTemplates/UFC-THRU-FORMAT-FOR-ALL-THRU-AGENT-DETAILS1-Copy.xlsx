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\\10.100.100.159\ERP_Reports\Reports\ExcelTemplates\"/>
    </mc:Choice>
  </mc:AlternateContent>
  <xr:revisionPtr revIDLastSave="0" documentId="13_ncr:1_{48C32C5B-3F7E-44C3-8669-2783A6E0FEDA}" xr6:coauthVersionLast="47" xr6:coauthVersionMax="47" xr10:uidLastSave="{00000000-0000-0000-0000-000000000000}"/>
  <bookViews>
    <workbookView xWindow="-108" yWindow="-108" windowWidth="23256" windowHeight="12456" tabRatio="732" xr2:uid="{00000000-000D-0000-FFFF-FFFF00000000}"/>
  </bookViews>
  <sheets>
    <sheet name="LIST" sheetId="3" r:id="rId1"/>
    <sheet name="Summary of LIST" sheetId="5" r:id="rId2"/>
  </sheets>
  <definedNames>
    <definedName name="__BookingRow__">LIST!#REF!</definedName>
    <definedName name="__SummaryBerthRow__">'Summary of LIST'!$A$10:$K$10</definedName>
    <definedName name="_Berth_">LIST!$D$5</definedName>
    <definedName name="_Berth_ALIAS_S2_">'Summary of LIST'!$B$6</definedName>
    <definedName name="_xlnm._FilterDatabase" localSheetId="0" hidden="1">LIST!$A$10:$W$44</definedName>
    <definedName name="_PortCall_">LIST!$D$3:$I$6</definedName>
    <definedName name="_PortCall_ALIAS_S2_">'Summary of LIST'!$B$3:$C$7</definedName>
    <definedName name="_SummaryTotal_">'Summary of LIST'!$E$4:$H$4</definedName>
    <definedName name="_xlnm.Print_Area" localSheetId="0">LIST!$A$1:$W$10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I9" i="3" l="1"/>
  <c r="T4" i="3"/>
  <c r="S4" i="3"/>
  <c r="T3" i="3"/>
  <c r="S3" i="3"/>
  <c r="S5" i="3" l="1"/>
  <c r="J9" i="3"/>
  <c r="V5" i="3" s="1"/>
  <c r="T5" i="3"/>
  <c r="U4" i="3"/>
  <c r="V4" i="3" s="1"/>
  <c r="U3" i="3"/>
  <c r="V3" i="3" l="1"/>
  <c r="U5" i="3"/>
</calcChain>
</file>

<file path=xl/sharedStrings.xml><?xml version="1.0" encoding="utf-8"?>
<sst xmlns="http://schemas.openxmlformats.org/spreadsheetml/2006/main" count="40" uniqueCount="40">
  <si>
    <t>REMARKS</t>
  </si>
  <si>
    <t>LINE</t>
  </si>
  <si>
    <t>PORT OF LOADING</t>
  </si>
  <si>
    <t>OH</t>
  </si>
  <si>
    <t>OW</t>
  </si>
  <si>
    <t>OL</t>
  </si>
  <si>
    <t>By 20</t>
  </si>
  <si>
    <t>By 40</t>
  </si>
  <si>
    <t>Teu</t>
  </si>
  <si>
    <t>Weight</t>
  </si>
  <si>
    <t>Full</t>
  </si>
  <si>
    <t>Empty</t>
  </si>
  <si>
    <t>Both</t>
  </si>
  <si>
    <t>OOG cm</t>
  </si>
  <si>
    <t>POL</t>
  </si>
  <si>
    <t>POD</t>
  </si>
  <si>
    <t>Container No</t>
  </si>
  <si>
    <t>QTY</t>
  </si>
  <si>
    <t>20/40</t>
  </si>
  <si>
    <t>F/E</t>
  </si>
  <si>
    <t>TYPE</t>
  </si>
  <si>
    <t>Gr.Wt ea</t>
  </si>
  <si>
    <t>Gr.wt.ttl</t>
  </si>
  <si>
    <t>RF Temp.</t>
  </si>
  <si>
    <t>IMO</t>
  </si>
  <si>
    <t>UN Num</t>
  </si>
  <si>
    <t>ETA</t>
  </si>
  <si>
    <t>STOW POSITION</t>
  </si>
  <si>
    <t>B/L NO.</t>
  </si>
  <si>
    <t>LOADING LIST</t>
  </si>
  <si>
    <t>Unimed Feeder Services A/S</t>
  </si>
  <si>
    <t>DATE</t>
  </si>
  <si>
    <t>Mother / Exp.CONN Vessel</t>
  </si>
  <si>
    <t>BERTH</t>
  </si>
  <si>
    <t>Ext. Voy. No.</t>
  </si>
  <si>
    <t>Int. Voy. No.</t>
  </si>
  <si>
    <t>FPOD AGENTD ETAILS</t>
  </si>
  <si>
    <t>BUD VESSEL</t>
  </si>
  <si>
    <t>SEAL NO.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</si>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</sst>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٫00"/>
    <numFmt numFmtId="165" formatCode="[$-407]d/\ mmm/;@"/>
  </numFmts>
  <fonts count="16" x14ac:knownFonts="1">
    <font>
      <sz val="10"/>
      <name val="Arial"/>
      <family val="2"/>
      <charset val="161"/>
    </font>
    <font>
      <sz val="10"/>
      <name val="Arial"/>
      <family val="2"/>
    </font>
    <font>
      <b/>
      <sz val="12"/>
      <name val="Arial"/>
      <family val="2"/>
      <charset val="178"/>
    </font>
    <font>
      <b/>
      <sz val="12"/>
      <color indexed="12"/>
      <name val="Arial"/>
      <family val="2"/>
      <charset val="178"/>
    </font>
    <font>
      <b/>
      <sz val="10"/>
      <color indexed="12"/>
      <name val="Arial"/>
      <family val="2"/>
      <charset val="178"/>
    </font>
    <font>
      <sz val="12"/>
      <name val="Arial"/>
      <family val="2"/>
      <charset val="178"/>
    </font>
    <font>
      <b/>
      <sz val="10"/>
      <name val="Arial"/>
      <family val="2"/>
      <charset val="161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5"/>
        <bgColor auto="1"/>
      </patternFill>
    </fill>
    <fill>
      <patternFill patternType="solid">
        <fgColor indexed="13"/>
        <bgColor indexed="34"/>
      </patternFill>
    </fill>
    <fill>
      <patternFill patternType="solid">
        <fgColor indexed="42"/>
        <bgColor indexed="27"/>
      </patternFill>
    </fill>
    <fill>
      <patternFill patternType="solid">
        <fgColor theme="0" tint="-4.9989318521683403E-2"/>
        <bgColor auto="1"/>
      </patternFill>
    </fill>
    <fill>
      <patternFill patternType="solid">
        <fgColor rgb="FFFFFF00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26"/>
      </patternFill>
    </fill>
  </fills>
  <borders count="24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8">
    <xf numFmtId="0" fontId="0" fillId="0" borderId="0" xfId="0"/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49" fontId="5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  <xf numFmtId="0" fontId="0" fillId="0" borderId="3" xfId="0" applyBorder="1"/>
    <xf numFmtId="0" fontId="0" fillId="0" borderId="4" xfId="0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0" fillId="0" borderId="8" xfId="0" applyBorder="1"/>
    <xf numFmtId="14" fontId="0" fillId="0" borderId="0" xfId="0" applyNumberFormat="1"/>
    <xf numFmtId="0" fontId="8" fillId="5" borderId="9" xfId="1" applyFont="1" applyFill="1" applyBorder="1" applyAlignment="1" applyProtection="1">
      <alignment horizontal="left"/>
      <protection locked="0"/>
    </xf>
    <xf numFmtId="0" fontId="8" fillId="5" borderId="10" xfId="1" applyFont="1" applyFill="1" applyBorder="1" applyAlignment="1" applyProtection="1">
      <alignment horizontal="left"/>
      <protection locked="0"/>
    </xf>
    <xf numFmtId="0" fontId="8" fillId="5" borderId="11" xfId="1" applyFont="1" applyFill="1" applyBorder="1" applyAlignment="1" applyProtection="1">
      <alignment horizontal="left"/>
      <protection locked="0"/>
    </xf>
    <xf numFmtId="0" fontId="10" fillId="6" borderId="1" xfId="0" applyFont="1" applyFill="1" applyBorder="1" applyAlignment="1" applyProtection="1">
      <alignment horizontal="center"/>
      <protection locked="0"/>
    </xf>
    <xf numFmtId="2" fontId="1" fillId="7" borderId="13" xfId="0" applyNumberFormat="1" applyFont="1" applyFill="1" applyBorder="1" applyAlignment="1">
      <alignment horizontal="center"/>
    </xf>
    <xf numFmtId="0" fontId="10" fillId="2" borderId="14" xfId="0" applyFont="1" applyFill="1" applyBorder="1" applyAlignment="1" applyProtection="1">
      <alignment horizontal="center"/>
      <protection locked="0"/>
    </xf>
    <xf numFmtId="0" fontId="10" fillId="2" borderId="15" xfId="0" applyFont="1" applyFill="1" applyBorder="1" applyAlignment="1" applyProtection="1">
      <alignment horizontal="center"/>
      <protection locked="0"/>
    </xf>
    <xf numFmtId="2" fontId="1" fillId="7" borderId="16" xfId="0" applyNumberFormat="1" applyFont="1" applyFill="1" applyBorder="1" applyAlignment="1">
      <alignment horizontal="center"/>
    </xf>
    <xf numFmtId="0" fontId="10" fillId="3" borderId="1" xfId="0" applyFont="1" applyFill="1" applyBorder="1" applyAlignment="1" applyProtection="1">
      <alignment horizontal="center"/>
      <protection locked="0"/>
    </xf>
    <xf numFmtId="2" fontId="1" fillId="3" borderId="1" xfId="0" applyNumberFormat="1" applyFont="1" applyFill="1" applyBorder="1" applyAlignment="1">
      <alignment horizontal="center"/>
    </xf>
    <xf numFmtId="0" fontId="2" fillId="3" borderId="17" xfId="0" applyFont="1" applyFill="1" applyBorder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9" fillId="0" borderId="0" xfId="1" applyFont="1" applyAlignment="1" applyProtection="1">
      <alignment horizontal="center"/>
      <protection locked="0"/>
    </xf>
    <xf numFmtId="0" fontId="0" fillId="0" borderId="18" xfId="0" applyBorder="1"/>
    <xf numFmtId="165" fontId="0" fillId="0" borderId="3" xfId="0" applyNumberFormat="1" applyBorder="1"/>
    <xf numFmtId="0" fontId="11" fillId="0" borderId="1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 readingOrder="1"/>
    </xf>
    <xf numFmtId="0" fontId="14" fillId="0" borderId="19" xfId="0" applyFont="1" applyBorder="1" applyAlignment="1">
      <alignment horizontal="center" vertical="center" wrapText="1"/>
    </xf>
    <xf numFmtId="0" fontId="11" fillId="0" borderId="19" xfId="0" applyFont="1" applyBorder="1" applyAlignment="1" applyProtection="1">
      <alignment horizontal="center" vertical="center"/>
      <protection locked="0"/>
    </xf>
    <xf numFmtId="49" fontId="11" fillId="0" borderId="19" xfId="0" applyNumberFormat="1" applyFont="1" applyBorder="1" applyAlignment="1" applyProtection="1">
      <alignment horizontal="center" vertical="center"/>
      <protection locked="0"/>
    </xf>
    <xf numFmtId="0" fontId="11" fillId="10" borderId="19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 applyProtection="1">
      <protection locked="0"/>
    </xf>
    <xf numFmtId="0" fontId="6" fillId="11" borderId="0" xfId="0" applyFont="1" applyFill="1" applyProtection="1">
      <protection locked="0"/>
    </xf>
    <xf numFmtId="0" fontId="12" fillId="10" borderId="19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9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8" borderId="19" xfId="0" applyNumberFormat="1" applyFill="1" applyBorder="1" applyAlignment="1">
      <alignment horizontal="center"/>
    </xf>
    <xf numFmtId="0" fontId="0" fillId="0" borderId="19" xfId="0" applyBorder="1"/>
    <xf numFmtId="0" fontId="0" fillId="4" borderId="19" xfId="0" applyFill="1" applyBorder="1"/>
    <xf numFmtId="2" fontId="0" fillId="3" borderId="19" xfId="0" applyNumberFormat="1" applyFill="1" applyBorder="1"/>
    <xf numFmtId="49" fontId="0" fillId="0" borderId="19" xfId="0" applyNumberFormat="1" applyBorder="1"/>
    <xf numFmtId="0" fontId="0" fillId="3" borderId="19" xfId="0" applyFill="1" applyBorder="1" applyAlignment="1">
      <alignment horizontal="center" vertical="center"/>
    </xf>
    <xf numFmtId="49" fontId="0" fillId="3" borderId="19" xfId="0" applyNumberFormat="1" applyFill="1" applyBorder="1" applyAlignment="1">
      <alignment horizontal="center" vertical="center"/>
    </xf>
    <xf numFmtId="1" fontId="0" fillId="0" borderId="0" xfId="0" applyNumberFormat="1"/>
    <xf numFmtId="0" fontId="13" fillId="10" borderId="19" xfId="0" applyFont="1" applyFill="1" applyBorder="1" applyAlignment="1">
      <alignment horizontal="center" vertical="center" wrapText="1" readingOrder="1"/>
    </xf>
    <xf numFmtId="0" fontId="14" fillId="10" borderId="19" xfId="0" applyFont="1" applyFill="1" applyBorder="1" applyAlignment="1">
      <alignment horizontal="center" vertical="center" wrapText="1"/>
    </xf>
    <xf numFmtId="0" fontId="11" fillId="10" borderId="19" xfId="0" applyFont="1" applyFill="1" applyBorder="1" applyAlignment="1" applyProtection="1">
      <alignment horizontal="center" vertical="center"/>
      <protection locked="0"/>
    </xf>
    <xf numFmtId="49" fontId="11" fillId="10" borderId="19" xfId="0" applyNumberFormat="1" applyFont="1" applyFill="1" applyBorder="1" applyAlignment="1" applyProtection="1">
      <alignment horizontal="center" vertical="center"/>
      <protection locked="0"/>
    </xf>
    <xf numFmtId="1" fontId="0" fillId="0" borderId="19" xfId="0" applyNumberFormat="1" applyBorder="1"/>
    <xf numFmtId="1" fontId="0" fillId="0" borderId="22" xfId="0" applyNumberFormat="1" applyBorder="1"/>
    <xf numFmtId="1" fontId="0" fillId="0" borderId="23" xfId="0" applyNumberFormat="1" applyBorder="1"/>
    <xf numFmtId="0" fontId="0" fillId="12" borderId="19" xfId="0" applyFill="1" applyBorder="1" applyAlignment="1">
      <alignment horizontal="center" vertical="center"/>
    </xf>
    <xf numFmtId="2" fontId="0" fillId="0" borderId="0" xfId="0" applyNumberFormat="1" applyAlignment="1" applyProtection="1">
      <alignment horizontal="center"/>
      <protection locked="0"/>
    </xf>
    <xf numFmtId="2" fontId="0" fillId="3" borderId="19" xfId="0" applyNumberFormat="1" applyFill="1" applyBorder="1" applyAlignment="1">
      <alignment horizontal="center" vertical="center"/>
    </xf>
    <xf numFmtId="2" fontId="13" fillId="0" borderId="19" xfId="0" applyNumberFormat="1" applyFont="1" applyBorder="1" applyAlignment="1">
      <alignment horizontal="center" vertical="center" wrapText="1" readingOrder="1"/>
    </xf>
    <xf numFmtId="2" fontId="13" fillId="10" borderId="19" xfId="0" applyNumberFormat="1" applyFont="1" applyFill="1" applyBorder="1" applyAlignment="1">
      <alignment horizontal="center" vertical="center" wrapText="1" readingOrder="1"/>
    </xf>
    <xf numFmtId="2" fontId="0" fillId="0" borderId="0" xfId="0" applyNumberFormat="1" applyAlignment="1" applyProtection="1">
      <alignment horizontal="right"/>
      <protection locked="0"/>
    </xf>
    <xf numFmtId="2" fontId="3" fillId="0" borderId="0" xfId="0" applyNumberFormat="1" applyFont="1" applyProtection="1">
      <protection locked="0"/>
    </xf>
    <xf numFmtId="2" fontId="5" fillId="0" borderId="0" xfId="0" applyNumberFormat="1" applyFont="1" applyProtection="1">
      <protection locked="0"/>
    </xf>
    <xf numFmtId="2" fontId="15" fillId="5" borderId="12" xfId="1" applyNumberFormat="1" applyFont="1" applyFill="1" applyBorder="1" applyAlignment="1" applyProtection="1">
      <alignment horizontal="center"/>
      <protection locked="0"/>
    </xf>
    <xf numFmtId="2" fontId="9" fillId="0" borderId="12" xfId="0" applyNumberFormat="1" applyFont="1" applyBorder="1" applyAlignment="1">
      <alignment horizontal="center"/>
    </xf>
    <xf numFmtId="1" fontId="0" fillId="0" borderId="0" xfId="0" applyNumberFormat="1" applyAlignment="1" applyProtection="1">
      <alignment horizontal="center"/>
      <protection locked="0"/>
    </xf>
    <xf numFmtId="1" fontId="0" fillId="12" borderId="19" xfId="0" applyNumberFormat="1" applyFill="1" applyBorder="1" applyAlignment="1">
      <alignment horizontal="center" vertical="center"/>
    </xf>
    <xf numFmtId="1" fontId="11" fillId="10" borderId="19" xfId="0" applyNumberFormat="1" applyFont="1" applyFill="1" applyBorder="1" applyAlignment="1">
      <alignment horizontal="center" vertical="center"/>
    </xf>
    <xf numFmtId="1" fontId="13" fillId="0" borderId="19" xfId="0" applyNumberFormat="1" applyFont="1" applyBorder="1" applyAlignment="1">
      <alignment horizontal="center" vertical="center" readingOrder="1"/>
    </xf>
    <xf numFmtId="0" fontId="0" fillId="3" borderId="19" xfId="0" applyFill="1" applyBorder="1" applyAlignment="1">
      <alignment horizontal="center"/>
    </xf>
    <xf numFmtId="0" fontId="8" fillId="5" borderId="9" xfId="1" applyFont="1" applyFill="1" applyBorder="1" applyAlignment="1" applyProtection="1">
      <alignment horizontal="left"/>
      <protection locked="0"/>
    </xf>
    <xf numFmtId="0" fontId="8" fillId="5" borderId="10" xfId="1" applyFont="1" applyFill="1" applyBorder="1" applyAlignment="1" applyProtection="1">
      <alignment horizontal="left"/>
      <protection locked="0"/>
    </xf>
    <xf numFmtId="0" fontId="8" fillId="5" borderId="11" xfId="1" applyFont="1" applyFill="1" applyBorder="1" applyAlignment="1" applyProtection="1">
      <alignment horizontal="left"/>
      <protection locked="0"/>
    </xf>
    <xf numFmtId="0" fontId="3" fillId="9" borderId="9" xfId="0" applyFont="1" applyFill="1" applyBorder="1" applyAlignment="1" applyProtection="1">
      <alignment horizontal="left"/>
      <protection locked="0"/>
    </xf>
    <xf numFmtId="0" fontId="3" fillId="9" borderId="10" xfId="0" applyFont="1" applyFill="1" applyBorder="1" applyAlignment="1" applyProtection="1">
      <alignment horizontal="left"/>
      <protection locked="0"/>
    </xf>
    <xf numFmtId="0" fontId="3" fillId="9" borderId="11" xfId="0" applyFont="1" applyFill="1" applyBorder="1" applyAlignment="1" applyProtection="1">
      <alignment horizontal="left"/>
      <protection locked="0"/>
    </xf>
    <xf numFmtId="0" fontId="9" fillId="0" borderId="9" xfId="0" applyFont="1" applyBorder="1" applyAlignment="1" applyProtection="1">
      <alignment horizontal="left"/>
      <protection locked="0"/>
    </xf>
    <xf numFmtId="0" fontId="9" fillId="0" borderId="10" xfId="0" applyFont="1" applyBorder="1" applyAlignment="1" applyProtection="1">
      <alignment horizontal="left"/>
      <protection locked="0"/>
    </xf>
    <xf numFmtId="0" fontId="9" fillId="0" borderId="11" xfId="0" applyFont="1" applyBorder="1" applyAlignment="1" applyProtection="1">
      <alignment horizontal="left"/>
      <protection locked="0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14" fontId="9" fillId="0" borderId="9" xfId="1" applyNumberFormat="1" applyFont="1" applyBorder="1" applyAlignment="1" applyProtection="1">
      <alignment horizontal="left"/>
      <protection locked="0"/>
    </xf>
    <xf numFmtId="14" fontId="9" fillId="0" borderId="10" xfId="1" applyNumberFormat="1" applyFont="1" applyBorder="1" applyAlignment="1" applyProtection="1">
      <alignment horizontal="left"/>
      <protection locked="0"/>
    </xf>
    <xf numFmtId="14" fontId="9" fillId="0" borderId="11" xfId="1" applyNumberFormat="1" applyFont="1" applyBorder="1" applyAlignment="1" applyProtection="1">
      <alignment horizontal="left"/>
      <protection locked="0"/>
    </xf>
    <xf numFmtId="0" fontId="0" fillId="9" borderId="20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9" borderId="20" xfId="0" applyFill="1" applyBorder="1" applyAlignment="1">
      <alignment horizontal="center" wrapText="1"/>
    </xf>
    <xf numFmtId="0" fontId="0" fillId="9" borderId="21" xfId="0" applyFill="1" applyBorder="1" applyAlignment="1">
      <alignment horizontal="center" wrapText="1"/>
    </xf>
    <xf numFmtId="1" fontId="13" fillId="0" borderId="19" xfId="0" applyNumberFormat="1" applyFont="1" applyBorder="1" applyAlignment="1">
      <alignment readingOrder="1"/>
    </xf>
  </cellXfs>
  <cellStyles count="3">
    <cellStyle name="Normal" xfId="0" builtinId="0"/>
    <cellStyle name="Normal 2" xfId="1" xr:uid="{00000000-0005-0000-0000-000001000000}"/>
    <cellStyle name="Normale_UFSTADR   var_vdr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4"/>
  <sheetViews>
    <sheetView tabSelected="1" zoomScaleSheetLayoutView="75" workbookViewId="0">
      <selection activeCell="J3" sqref="J3"/>
    </sheetView>
  </sheetViews>
  <sheetFormatPr defaultColWidth="9.109375" defaultRowHeight="13.2" x14ac:dyDescent="0.25"/>
  <cols>
    <col min="1" max="1" width="9.109375" style="1"/>
    <col min="2" max="2" width="7.6640625" style="1" customWidth="1"/>
    <col min="3" max="3" width="11.88671875" style="1" customWidth="1"/>
    <col min="4" max="4" width="14.5546875" style="1" bestFit="1" customWidth="1"/>
    <col min="5" max="5" width="14.5546875" style="73" customWidth="1"/>
    <col min="6" max="6" width="5.5546875" style="1" bestFit="1" customWidth="1"/>
    <col min="7" max="7" width="3.88671875" style="1" bestFit="1" customWidth="1"/>
    <col min="8" max="8" width="5.6640625" style="1" bestFit="1" customWidth="1"/>
    <col min="9" max="9" width="12.5546875" style="64" bestFit="1" customWidth="1"/>
    <col min="10" max="10" width="8.109375" style="68" bestFit="1" customWidth="1"/>
    <col min="11" max="11" width="13.44140625" style="1" bestFit="1" customWidth="1"/>
    <col min="12" max="12" width="10.88671875" style="1" hidden="1" customWidth="1"/>
    <col min="13" max="13" width="5" style="8" hidden="1" customWidth="1"/>
    <col min="14" max="14" width="3.5546875" style="8" hidden="1" customWidth="1"/>
    <col min="15" max="15" width="5" style="1" hidden="1" customWidth="1"/>
    <col min="16" max="16" width="3.6640625" style="1" hidden="1" customWidth="1"/>
    <col min="17" max="17" width="5.5546875" style="1" hidden="1" customWidth="1"/>
    <col min="18" max="18" width="10.44140625" style="1" hidden="1" customWidth="1"/>
    <col min="19" max="19" width="7.33203125" style="1" customWidth="1"/>
    <col min="20" max="20" width="15.88671875" style="3" bestFit="1" customWidth="1"/>
    <col min="21" max="21" width="19.6640625" style="3" bestFit="1" customWidth="1"/>
    <col min="22" max="22" width="23.5546875" style="3" customWidth="1"/>
    <col min="23" max="23" width="44.44140625" style="3" bestFit="1" customWidth="1"/>
    <col min="24" max="24" width="9.109375" style="3"/>
    <col min="25" max="28" width="9.109375" style="3" hidden="1" customWidth="1"/>
    <col min="29" max="29" width="0" style="3" hidden="1" customWidth="1"/>
    <col min="30" max="16384" width="9.109375" style="3"/>
  </cols>
  <sheetData>
    <row r="1" spans="1:256" ht="13.8" thickBot="1" x14ac:dyDescent="0.3">
      <c r="I1" s="64" t="s">
        <v>39</v>
      </c>
    </row>
    <row r="2" spans="1:256" ht="21.75" customHeight="1" thickBot="1" x14ac:dyDescent="0.35">
      <c r="A2" s="81" t="s">
        <v>29</v>
      </c>
      <c r="B2" s="82"/>
      <c r="C2" s="82"/>
      <c r="D2" s="82"/>
      <c r="E2" s="82"/>
      <c r="F2" s="82"/>
      <c r="G2" s="82"/>
      <c r="H2" s="83"/>
      <c r="I2" s="69"/>
      <c r="J2" s="69"/>
      <c r="L2" s="4"/>
      <c r="M2" s="9"/>
      <c r="N2" s="9"/>
      <c r="Q2" s="30"/>
      <c r="R2" s="6"/>
      <c r="S2" s="7" t="s">
        <v>6</v>
      </c>
      <c r="T2" s="7" t="s">
        <v>7</v>
      </c>
      <c r="U2" s="7" t="s">
        <v>8</v>
      </c>
      <c r="V2" s="7" t="s">
        <v>9</v>
      </c>
    </row>
    <row r="3" spans="1:256" s="6" customFormat="1" ht="20.25" customHeight="1" thickBot="1" x14ac:dyDescent="0.35">
      <c r="A3" s="78" t="s">
        <v>37</v>
      </c>
      <c r="B3" s="79"/>
      <c r="C3" s="80"/>
      <c r="D3" s="84"/>
      <c r="E3" s="85"/>
      <c r="F3" s="85"/>
      <c r="G3" s="85"/>
      <c r="H3" s="86"/>
      <c r="I3" s="71" t="s">
        <v>35</v>
      </c>
      <c r="J3" s="70"/>
      <c r="K3" s="2"/>
      <c r="M3" s="10"/>
      <c r="N3" s="10"/>
      <c r="Q3" s="5"/>
      <c r="R3" s="29" t="s">
        <v>10</v>
      </c>
      <c r="S3" s="24" t="e">
        <f>SUMIFS(#REF!,F11:F1949,"=20",G11:G1949,"=F")</f>
        <v>#REF!</v>
      </c>
      <c r="T3" s="24" t="e">
        <f>SUMIFS(#REF!,F11:F1949,"=40",G11:G1949,"=F")</f>
        <v>#REF!</v>
      </c>
      <c r="U3" s="22" t="e">
        <f>S3+(T3*2)</f>
        <v>#REF!</v>
      </c>
      <c r="V3" s="23" t="e">
        <f>V5-V4</f>
        <v>#REF!</v>
      </c>
    </row>
    <row r="4" spans="1:256" s="6" customFormat="1" ht="20.25" customHeight="1" thickBot="1" x14ac:dyDescent="0.35">
      <c r="A4" s="19" t="s">
        <v>2</v>
      </c>
      <c r="B4" s="20"/>
      <c r="C4" s="21"/>
      <c r="D4" s="87"/>
      <c r="E4" s="88"/>
      <c r="F4" s="88"/>
      <c r="G4" s="88"/>
      <c r="H4" s="89"/>
      <c r="I4" s="72"/>
      <c r="J4" s="70"/>
      <c r="M4" s="10"/>
      <c r="N4" s="10"/>
      <c r="R4" s="29" t="s">
        <v>11</v>
      </c>
      <c r="S4" s="24" t="e">
        <f>SUMIFS(#REF!,F11:F1949,"=20",G11:G1949,"=E")</f>
        <v>#REF!</v>
      </c>
      <c r="T4" s="25" t="e">
        <f>SUMIFS(#REF!,F11:F1949,"=40",G11:G1949,"=E")</f>
        <v>#REF!</v>
      </c>
      <c r="U4" s="22" t="e">
        <f>S4+(T4*2)</f>
        <v>#REF!</v>
      </c>
      <c r="V4" s="26" t="e">
        <f>U4*2</f>
        <v>#REF!</v>
      </c>
    </row>
    <row r="5" spans="1:256" s="6" customFormat="1" ht="20.25" customHeight="1" thickBot="1" x14ac:dyDescent="0.35">
      <c r="A5" s="78" t="s">
        <v>33</v>
      </c>
      <c r="B5" s="79"/>
      <c r="C5" s="80"/>
      <c r="D5" s="90"/>
      <c r="E5" s="91"/>
      <c r="F5" s="91"/>
      <c r="G5" s="91"/>
      <c r="H5" s="92"/>
      <c r="I5" s="71" t="s">
        <v>34</v>
      </c>
      <c r="J5" s="70"/>
      <c r="M5" s="10"/>
      <c r="N5" s="10"/>
      <c r="R5" s="29" t="s">
        <v>12</v>
      </c>
      <c r="S5" s="27" t="e">
        <f>SUM(S3:S4)</f>
        <v>#REF!</v>
      </c>
      <c r="T5" s="27" t="e">
        <f>SUM(T3:T4)</f>
        <v>#REF!</v>
      </c>
      <c r="U5" s="27" t="e">
        <f>S5+(T5*2)</f>
        <v>#REF!</v>
      </c>
      <c r="V5" s="28">
        <f>J9</f>
        <v>0</v>
      </c>
    </row>
    <row r="6" spans="1:256" s="6" customFormat="1" ht="16.2" thickBot="1" x14ac:dyDescent="0.35">
      <c r="A6" s="78" t="s">
        <v>31</v>
      </c>
      <c r="B6" s="79"/>
      <c r="C6" s="80"/>
      <c r="D6" s="90"/>
      <c r="E6" s="91"/>
      <c r="F6" s="91"/>
      <c r="G6" s="91"/>
      <c r="H6" s="92"/>
      <c r="I6" s="72"/>
      <c r="J6" s="70"/>
      <c r="K6" s="1"/>
      <c r="L6" s="1"/>
      <c r="M6" s="10"/>
      <c r="N6" s="10"/>
    </row>
    <row r="7" spans="1:256" ht="13.5" customHeight="1" x14ac:dyDescent="0.3">
      <c r="L7" s="31" t="s">
        <v>30</v>
      </c>
      <c r="N7" s="11"/>
      <c r="O7" s="3"/>
      <c r="P7" s="3"/>
      <c r="Q7" s="3"/>
      <c r="R7" s="3"/>
      <c r="S7" s="3"/>
    </row>
    <row r="8" spans="1:256" x14ac:dyDescent="0.25">
      <c r="F8" s="44"/>
      <c r="G8" s="44"/>
      <c r="K8"/>
      <c r="N8" s="11"/>
      <c r="O8" s="3"/>
      <c r="P8" s="3"/>
      <c r="Q8" s="3"/>
      <c r="R8" s="3"/>
      <c r="S8" s="3"/>
    </row>
    <row r="9" spans="1:256" x14ac:dyDescent="0.25">
      <c r="A9" s="49"/>
      <c r="B9" s="49"/>
      <c r="C9" s="49"/>
      <c r="D9" s="49"/>
      <c r="E9" s="60">
        <f>SUBTOTAL(9,E11:E948)</f>
        <v>0</v>
      </c>
      <c r="F9" s="50"/>
      <c r="G9" s="49"/>
      <c r="H9" s="49"/>
      <c r="I9" s="51">
        <f>SUBTOTAL(9,I11:I948)</f>
        <v>0</v>
      </c>
      <c r="J9" s="51">
        <f>SUBTOTAL(9,J11:J948)</f>
        <v>0</v>
      </c>
      <c r="K9" s="49"/>
      <c r="L9" s="49"/>
      <c r="M9" s="52"/>
      <c r="N9" s="52"/>
      <c r="O9" s="77" t="s">
        <v>13</v>
      </c>
      <c r="P9" s="77"/>
      <c r="Q9" s="77"/>
      <c r="R9" s="49"/>
      <c r="S9" s="49"/>
      <c r="T9" s="49"/>
      <c r="U9" s="49"/>
      <c r="V9" s="49"/>
      <c r="W9" s="4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 x14ac:dyDescent="0.25">
      <c r="A10" s="63" t="s">
        <v>14</v>
      </c>
      <c r="B10" s="63" t="s">
        <v>15</v>
      </c>
      <c r="C10" s="63" t="s">
        <v>38</v>
      </c>
      <c r="D10" s="63" t="s">
        <v>16</v>
      </c>
      <c r="E10" s="74" t="s">
        <v>17</v>
      </c>
      <c r="F10" s="63" t="s">
        <v>18</v>
      </c>
      <c r="G10" s="53" t="s">
        <v>19</v>
      </c>
      <c r="H10" s="63" t="s">
        <v>20</v>
      </c>
      <c r="I10" s="65" t="s">
        <v>21</v>
      </c>
      <c r="J10" s="65" t="s">
        <v>22</v>
      </c>
      <c r="K10" s="63" t="s">
        <v>1</v>
      </c>
      <c r="L10" s="53" t="s">
        <v>23</v>
      </c>
      <c r="M10" s="54" t="s">
        <v>24</v>
      </c>
      <c r="N10" s="54" t="s">
        <v>25</v>
      </c>
      <c r="O10" s="53" t="s">
        <v>3</v>
      </c>
      <c r="P10" s="53" t="s">
        <v>4</v>
      </c>
      <c r="Q10" s="53" t="s">
        <v>5</v>
      </c>
      <c r="R10" s="53" t="s">
        <v>32</v>
      </c>
      <c r="S10" s="53" t="s">
        <v>26</v>
      </c>
      <c r="T10" s="53" t="s">
        <v>27</v>
      </c>
      <c r="U10" s="63" t="s">
        <v>28</v>
      </c>
      <c r="V10" s="63" t="s">
        <v>0</v>
      </c>
      <c r="W10" s="63" t="s">
        <v>36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 s="41" customFormat="1" ht="13.8" x14ac:dyDescent="0.3">
      <c r="A11" s="34"/>
      <c r="B11" s="43"/>
      <c r="C11" s="35"/>
      <c r="D11" s="35"/>
      <c r="E11" s="97"/>
      <c r="F11" s="35"/>
      <c r="G11" s="35"/>
      <c r="H11" s="34"/>
      <c r="I11" s="66"/>
      <c r="J11" s="66"/>
      <c r="K11" s="36"/>
      <c r="L11" s="37"/>
      <c r="M11" s="38"/>
      <c r="N11" s="38"/>
      <c r="O11" s="37"/>
      <c r="P11" s="37"/>
      <c r="Q11" s="37"/>
      <c r="R11" s="37"/>
      <c r="S11" s="37"/>
      <c r="T11" s="37"/>
      <c r="U11" s="36"/>
      <c r="V11" s="37"/>
      <c r="W11" s="39"/>
    </row>
    <row r="12" spans="1:256" s="41" customFormat="1" ht="13.8" x14ac:dyDescent="0.25">
      <c r="A12" s="34"/>
      <c r="B12" s="43"/>
      <c r="C12" s="35"/>
      <c r="D12" s="35"/>
      <c r="E12" s="76"/>
      <c r="F12" s="35"/>
      <c r="G12" s="35"/>
      <c r="H12" s="34"/>
      <c r="I12" s="66"/>
      <c r="J12" s="66"/>
      <c r="K12" s="36"/>
      <c r="L12" s="37"/>
      <c r="M12" s="38"/>
      <c r="N12" s="38"/>
      <c r="O12" s="37"/>
      <c r="P12" s="37"/>
      <c r="Q12" s="37"/>
      <c r="R12" s="37"/>
      <c r="S12" s="37"/>
      <c r="T12" s="37"/>
      <c r="U12" s="36"/>
      <c r="V12" s="37"/>
      <c r="W12" s="39"/>
    </row>
    <row r="13" spans="1:256" s="41" customFormat="1" ht="13.8" x14ac:dyDescent="0.25">
      <c r="A13" s="34"/>
      <c r="B13" s="43"/>
      <c r="C13" s="35"/>
      <c r="D13" s="35"/>
      <c r="E13" s="76"/>
      <c r="F13" s="35"/>
      <c r="G13" s="35"/>
      <c r="H13" s="34"/>
      <c r="I13" s="66"/>
      <c r="J13" s="66"/>
      <c r="K13" s="36"/>
      <c r="L13" s="37"/>
      <c r="M13" s="38"/>
      <c r="N13" s="38"/>
      <c r="O13" s="37"/>
      <c r="P13" s="37"/>
      <c r="Q13" s="37"/>
      <c r="R13" s="37"/>
      <c r="S13" s="37"/>
      <c r="T13" s="37"/>
      <c r="U13" s="36"/>
      <c r="V13" s="37"/>
      <c r="W13" s="39"/>
    </row>
    <row r="14" spans="1:256" s="41" customFormat="1" ht="13.8" x14ac:dyDescent="0.25">
      <c r="A14" s="34"/>
      <c r="B14" s="43"/>
      <c r="C14" s="35"/>
      <c r="D14" s="35"/>
      <c r="E14" s="76"/>
      <c r="F14" s="35"/>
      <c r="G14" s="35"/>
      <c r="H14" s="34"/>
      <c r="I14" s="66"/>
      <c r="J14" s="66"/>
      <c r="K14" s="36"/>
      <c r="L14" s="37"/>
      <c r="M14" s="38"/>
      <c r="N14" s="38"/>
      <c r="O14" s="37"/>
      <c r="P14" s="37"/>
      <c r="Q14" s="37"/>
      <c r="R14" s="37"/>
      <c r="S14" s="37"/>
      <c r="T14" s="37"/>
      <c r="U14" s="36"/>
      <c r="V14" s="37"/>
      <c r="W14" s="39"/>
    </row>
    <row r="15" spans="1:256" s="41" customFormat="1" ht="13.8" x14ac:dyDescent="0.25">
      <c r="A15" s="34"/>
      <c r="B15" s="43"/>
      <c r="C15" s="35"/>
      <c r="D15" s="35"/>
      <c r="E15" s="76"/>
      <c r="F15" s="35"/>
      <c r="G15" s="35"/>
      <c r="H15" s="34"/>
      <c r="I15" s="66"/>
      <c r="J15" s="66"/>
      <c r="K15" s="36"/>
      <c r="L15" s="37"/>
      <c r="M15" s="38"/>
      <c r="N15" s="38"/>
      <c r="O15" s="37"/>
      <c r="P15" s="37"/>
      <c r="Q15" s="37"/>
      <c r="R15" s="37"/>
      <c r="S15" s="37"/>
      <c r="T15" s="37"/>
      <c r="U15" s="36"/>
      <c r="V15" s="37"/>
      <c r="W15" s="39"/>
    </row>
    <row r="16" spans="1:256" s="41" customFormat="1" ht="13.8" x14ac:dyDescent="0.25">
      <c r="A16" s="34"/>
      <c r="B16" s="43"/>
      <c r="C16" s="35"/>
      <c r="D16" s="35"/>
      <c r="E16" s="76"/>
      <c r="F16" s="35"/>
      <c r="G16" s="35"/>
      <c r="H16" s="34"/>
      <c r="I16" s="66"/>
      <c r="J16" s="66"/>
      <c r="K16" s="36"/>
      <c r="L16" s="37"/>
      <c r="M16" s="38"/>
      <c r="N16" s="38"/>
      <c r="O16" s="37"/>
      <c r="P16" s="37"/>
      <c r="Q16" s="37"/>
      <c r="R16" s="37"/>
      <c r="S16" s="37"/>
      <c r="T16" s="37"/>
      <c r="U16" s="36"/>
      <c r="V16" s="37"/>
      <c r="W16" s="39"/>
    </row>
    <row r="17" spans="1:55" s="41" customFormat="1" ht="13.8" x14ac:dyDescent="0.25">
      <c r="A17" s="34"/>
      <c r="B17" s="43"/>
      <c r="C17" s="35"/>
      <c r="D17" s="35"/>
      <c r="E17" s="76"/>
      <c r="F17" s="35"/>
      <c r="G17" s="35"/>
      <c r="H17" s="34"/>
      <c r="I17" s="66"/>
      <c r="J17" s="66"/>
      <c r="K17" s="36"/>
      <c r="L17" s="37"/>
      <c r="M17" s="38"/>
      <c r="N17" s="38"/>
      <c r="O17" s="37"/>
      <c r="P17" s="37"/>
      <c r="Q17" s="37"/>
      <c r="R17" s="37"/>
      <c r="S17" s="37"/>
      <c r="T17" s="37"/>
      <c r="U17" s="36"/>
      <c r="V17" s="37"/>
      <c r="W17" s="39"/>
    </row>
    <row r="18" spans="1:55" s="41" customFormat="1" ht="13.8" x14ac:dyDescent="0.25">
      <c r="A18" s="34"/>
      <c r="B18" s="43"/>
      <c r="C18" s="35"/>
      <c r="D18" s="35"/>
      <c r="E18" s="76"/>
      <c r="F18" s="35"/>
      <c r="G18" s="35"/>
      <c r="H18" s="34"/>
      <c r="I18" s="66"/>
      <c r="J18" s="66"/>
      <c r="K18" s="36"/>
      <c r="L18" s="37"/>
      <c r="M18" s="38"/>
      <c r="N18" s="38"/>
      <c r="O18" s="37"/>
      <c r="P18" s="37"/>
      <c r="Q18" s="37"/>
      <c r="R18" s="37"/>
      <c r="S18" s="37"/>
      <c r="T18" s="37"/>
      <c r="U18" s="36"/>
      <c r="V18" s="37"/>
      <c r="W18" s="39"/>
    </row>
    <row r="19" spans="1:55" s="41" customFormat="1" ht="13.8" x14ac:dyDescent="0.25">
      <c r="A19" s="34"/>
      <c r="B19" s="43"/>
      <c r="C19" s="35"/>
      <c r="D19" s="35"/>
      <c r="E19" s="76"/>
      <c r="F19" s="35"/>
      <c r="G19" s="35"/>
      <c r="H19" s="34"/>
      <c r="I19" s="66"/>
      <c r="J19" s="66"/>
      <c r="K19" s="36"/>
      <c r="L19" s="37"/>
      <c r="M19" s="38"/>
      <c r="N19" s="38"/>
      <c r="O19" s="37"/>
      <c r="P19" s="37"/>
      <c r="Q19" s="37"/>
      <c r="R19" s="37"/>
      <c r="S19" s="37"/>
      <c r="T19" s="37"/>
      <c r="U19" s="37"/>
      <c r="V19" s="37"/>
      <c r="W19" s="39"/>
    </row>
    <row r="20" spans="1:55" s="42" customFormat="1" ht="13.8" x14ac:dyDescent="0.25">
      <c r="A20" s="39"/>
      <c r="B20" s="39"/>
      <c r="C20" s="39"/>
      <c r="D20" s="39"/>
      <c r="E20" s="75"/>
      <c r="F20" s="56"/>
      <c r="G20" s="56"/>
      <c r="H20" s="39"/>
      <c r="I20" s="67"/>
      <c r="J20" s="67"/>
      <c r="K20" s="57"/>
      <c r="L20" s="58"/>
      <c r="M20" s="59"/>
      <c r="N20" s="59"/>
      <c r="O20" s="58"/>
      <c r="P20" s="58"/>
      <c r="Q20" s="58"/>
      <c r="R20" s="58"/>
      <c r="S20" s="58"/>
      <c r="T20" s="58"/>
      <c r="U20" s="39"/>
      <c r="V20" s="58"/>
      <c r="W20" s="39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</row>
    <row r="21" spans="1:55" s="42" customFormat="1" ht="13.8" x14ac:dyDescent="0.25">
      <c r="A21" s="39"/>
      <c r="B21" s="39"/>
      <c r="C21" s="39"/>
      <c r="D21" s="39"/>
      <c r="E21" s="75"/>
      <c r="F21" s="56"/>
      <c r="G21" s="56"/>
      <c r="H21" s="39"/>
      <c r="I21" s="67"/>
      <c r="J21" s="67"/>
      <c r="K21" s="57"/>
      <c r="L21" s="58"/>
      <c r="M21" s="59"/>
      <c r="N21" s="59"/>
      <c r="O21" s="58"/>
      <c r="P21" s="58"/>
      <c r="Q21" s="58"/>
      <c r="R21" s="58"/>
      <c r="S21" s="58"/>
      <c r="T21" s="58"/>
      <c r="U21" s="39"/>
      <c r="V21" s="58"/>
      <c r="W21" s="39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</row>
    <row r="22" spans="1:55" s="42" customFormat="1" ht="13.8" x14ac:dyDescent="0.25">
      <c r="A22" s="39"/>
      <c r="B22" s="39"/>
      <c r="C22" s="39"/>
      <c r="D22" s="39"/>
      <c r="E22" s="75"/>
      <c r="F22" s="56"/>
      <c r="G22" s="56"/>
      <c r="H22" s="39"/>
      <c r="I22" s="67"/>
      <c r="J22" s="67"/>
      <c r="K22" s="57"/>
      <c r="L22" s="58"/>
      <c r="M22" s="59"/>
      <c r="N22" s="59"/>
      <c r="O22" s="58"/>
      <c r="P22" s="58"/>
      <c r="Q22" s="58"/>
      <c r="R22" s="58"/>
      <c r="S22" s="58"/>
      <c r="T22" s="58"/>
      <c r="U22" s="39"/>
      <c r="V22" s="58"/>
      <c r="W22" s="39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</row>
    <row r="23" spans="1:55" s="42" customFormat="1" ht="13.8" x14ac:dyDescent="0.25">
      <c r="A23" s="39"/>
      <c r="B23" s="39"/>
      <c r="C23" s="39"/>
      <c r="D23" s="39"/>
      <c r="E23" s="75"/>
      <c r="F23" s="56"/>
      <c r="G23" s="56"/>
      <c r="H23" s="39"/>
      <c r="I23" s="67"/>
      <c r="J23" s="67"/>
      <c r="K23" s="57"/>
      <c r="L23" s="58"/>
      <c r="M23" s="59"/>
      <c r="N23" s="59"/>
      <c r="O23" s="58"/>
      <c r="P23" s="58"/>
      <c r="Q23" s="58"/>
      <c r="R23" s="58"/>
      <c r="S23" s="58"/>
      <c r="T23" s="58"/>
      <c r="U23" s="39"/>
      <c r="V23" s="58"/>
      <c r="W23" s="39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</row>
    <row r="24" spans="1:55" s="42" customFormat="1" ht="13.8" x14ac:dyDescent="0.25">
      <c r="A24" s="39"/>
      <c r="B24" s="39"/>
      <c r="C24" s="39"/>
      <c r="D24" s="39"/>
      <c r="E24" s="75"/>
      <c r="F24" s="56"/>
      <c r="G24" s="56"/>
      <c r="H24" s="39"/>
      <c r="I24" s="67"/>
      <c r="J24" s="67"/>
      <c r="K24" s="57"/>
      <c r="L24" s="58"/>
      <c r="M24" s="59"/>
      <c r="N24" s="59"/>
      <c r="O24" s="58"/>
      <c r="P24" s="58"/>
      <c r="Q24" s="58"/>
      <c r="R24" s="58"/>
      <c r="S24" s="58"/>
      <c r="T24" s="58"/>
      <c r="U24" s="39"/>
      <c r="V24" s="58"/>
      <c r="W24" s="39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</row>
    <row r="25" spans="1:55" s="42" customFormat="1" ht="13.8" x14ac:dyDescent="0.25">
      <c r="A25" s="39"/>
      <c r="B25" s="39"/>
      <c r="C25" s="39"/>
      <c r="D25" s="39"/>
      <c r="E25" s="75"/>
      <c r="F25" s="56"/>
      <c r="G25" s="56"/>
      <c r="H25" s="39"/>
      <c r="I25" s="67"/>
      <c r="J25" s="67"/>
      <c r="K25" s="57"/>
      <c r="L25" s="58"/>
      <c r="M25" s="59"/>
      <c r="N25" s="59"/>
      <c r="O25" s="58"/>
      <c r="P25" s="58"/>
      <c r="Q25" s="58"/>
      <c r="R25" s="58"/>
      <c r="S25" s="58"/>
      <c r="T25" s="58"/>
      <c r="U25" s="39"/>
      <c r="V25" s="58"/>
      <c r="W25" s="39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</row>
    <row r="26" spans="1:55" s="42" customFormat="1" ht="13.8" x14ac:dyDescent="0.25">
      <c r="A26" s="39"/>
      <c r="B26" s="39"/>
      <c r="C26" s="39"/>
      <c r="D26" s="39"/>
      <c r="E26" s="75"/>
      <c r="F26" s="56"/>
      <c r="G26" s="56"/>
      <c r="H26" s="39"/>
      <c r="I26" s="67"/>
      <c r="J26" s="67"/>
      <c r="K26" s="57"/>
      <c r="L26" s="58"/>
      <c r="M26" s="59"/>
      <c r="N26" s="59"/>
      <c r="O26" s="58"/>
      <c r="P26" s="58"/>
      <c r="Q26" s="58"/>
      <c r="R26" s="58"/>
      <c r="S26" s="58"/>
      <c r="T26" s="58"/>
      <c r="U26" s="39"/>
      <c r="V26" s="58"/>
      <c r="W26" s="39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</row>
    <row r="27" spans="1:55" s="42" customFormat="1" ht="13.8" x14ac:dyDescent="0.25">
      <c r="A27" s="39"/>
      <c r="B27" s="39"/>
      <c r="C27" s="39"/>
      <c r="D27" s="39"/>
      <c r="E27" s="75"/>
      <c r="F27" s="56"/>
      <c r="G27" s="56"/>
      <c r="H27" s="39"/>
      <c r="I27" s="67"/>
      <c r="J27" s="67"/>
      <c r="K27" s="57"/>
      <c r="L27" s="58"/>
      <c r="M27" s="59"/>
      <c r="N27" s="59"/>
      <c r="O27" s="58"/>
      <c r="P27" s="58"/>
      <c r="Q27" s="58"/>
      <c r="R27" s="58"/>
      <c r="S27" s="58"/>
      <c r="T27" s="58"/>
      <c r="U27" s="39"/>
      <c r="V27" s="58"/>
      <c r="W27" s="39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</row>
    <row r="28" spans="1:55" s="42" customFormat="1" ht="13.8" x14ac:dyDescent="0.25">
      <c r="A28" s="39"/>
      <c r="B28" s="39"/>
      <c r="C28" s="39"/>
      <c r="D28" s="39"/>
      <c r="E28" s="75"/>
      <c r="F28" s="56"/>
      <c r="G28" s="56"/>
      <c r="H28" s="39"/>
      <c r="I28" s="67"/>
      <c r="J28" s="67"/>
      <c r="K28" s="57"/>
      <c r="L28" s="58"/>
      <c r="M28" s="59"/>
      <c r="N28" s="59"/>
      <c r="O28" s="58"/>
      <c r="P28" s="58"/>
      <c r="Q28" s="58"/>
      <c r="R28" s="58"/>
      <c r="S28" s="58"/>
      <c r="T28" s="58"/>
      <c r="U28" s="39"/>
      <c r="V28" s="58"/>
      <c r="W28" s="39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</row>
    <row r="29" spans="1:55" s="42" customFormat="1" ht="13.8" x14ac:dyDescent="0.25">
      <c r="A29" s="39"/>
      <c r="B29" s="39"/>
      <c r="C29" s="39"/>
      <c r="D29" s="39"/>
      <c r="E29" s="75"/>
      <c r="F29" s="56"/>
      <c r="G29" s="56"/>
      <c r="H29" s="39"/>
      <c r="I29" s="67"/>
      <c r="J29" s="67"/>
      <c r="K29" s="57"/>
      <c r="L29" s="58"/>
      <c r="M29" s="59"/>
      <c r="N29" s="59"/>
      <c r="O29" s="58"/>
      <c r="P29" s="58"/>
      <c r="Q29" s="58"/>
      <c r="R29" s="58"/>
      <c r="S29" s="58"/>
      <c r="T29" s="58"/>
      <c r="U29" s="39"/>
      <c r="V29" s="58"/>
      <c r="W29" s="39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</row>
    <row r="30" spans="1:55" s="42" customFormat="1" ht="13.8" x14ac:dyDescent="0.25">
      <c r="A30" s="39"/>
      <c r="B30" s="39"/>
      <c r="C30" s="39"/>
      <c r="D30" s="39"/>
      <c r="E30" s="75"/>
      <c r="F30" s="56"/>
      <c r="G30" s="56"/>
      <c r="H30" s="39"/>
      <c r="I30" s="67"/>
      <c r="J30" s="67"/>
      <c r="K30" s="57"/>
      <c r="L30" s="58"/>
      <c r="M30" s="59"/>
      <c r="N30" s="59"/>
      <c r="O30" s="58"/>
      <c r="P30" s="58"/>
      <c r="Q30" s="58"/>
      <c r="R30" s="58"/>
      <c r="S30" s="58"/>
      <c r="T30" s="58"/>
      <c r="U30" s="39"/>
      <c r="V30" s="58"/>
      <c r="W30" s="39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</row>
    <row r="31" spans="1:55" s="42" customFormat="1" ht="13.8" x14ac:dyDescent="0.25">
      <c r="A31" s="39"/>
      <c r="B31" s="39"/>
      <c r="C31" s="39"/>
      <c r="D31" s="39"/>
      <c r="E31" s="75"/>
      <c r="F31" s="56"/>
      <c r="G31" s="56"/>
      <c r="H31" s="39"/>
      <c r="I31" s="67"/>
      <c r="J31" s="67"/>
      <c r="K31" s="57"/>
      <c r="L31" s="58"/>
      <c r="M31" s="59"/>
      <c r="N31" s="59"/>
      <c r="O31" s="58"/>
      <c r="P31" s="58"/>
      <c r="Q31" s="58"/>
      <c r="R31" s="58"/>
      <c r="S31" s="58"/>
      <c r="T31" s="58"/>
      <c r="U31" s="39"/>
      <c r="V31" s="58"/>
      <c r="W31" s="39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</row>
    <row r="32" spans="1:55" s="42" customFormat="1" ht="13.8" x14ac:dyDescent="0.25">
      <c r="A32" s="39"/>
      <c r="B32" s="39"/>
      <c r="C32" s="39"/>
      <c r="D32" s="39"/>
      <c r="E32" s="75"/>
      <c r="F32" s="56"/>
      <c r="G32" s="56"/>
      <c r="H32" s="39"/>
      <c r="I32" s="67"/>
      <c r="J32" s="67"/>
      <c r="K32" s="57"/>
      <c r="L32" s="58"/>
      <c r="M32" s="59"/>
      <c r="N32" s="59"/>
      <c r="O32" s="58"/>
      <c r="P32" s="58"/>
      <c r="Q32" s="58"/>
      <c r="R32" s="58"/>
      <c r="S32" s="58"/>
      <c r="T32" s="58"/>
      <c r="U32" s="39"/>
      <c r="V32" s="58"/>
      <c r="W32" s="39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</row>
    <row r="33" spans="1:55" s="42" customFormat="1" ht="13.8" x14ac:dyDescent="0.25">
      <c r="A33" s="39"/>
      <c r="B33" s="39"/>
      <c r="C33" s="39"/>
      <c r="D33" s="39"/>
      <c r="E33" s="75"/>
      <c r="F33" s="56"/>
      <c r="G33" s="56"/>
      <c r="H33" s="39"/>
      <c r="I33" s="67"/>
      <c r="J33" s="67"/>
      <c r="K33" s="57"/>
      <c r="L33" s="58"/>
      <c r="M33" s="59"/>
      <c r="N33" s="59"/>
      <c r="O33" s="58"/>
      <c r="P33" s="58"/>
      <c r="Q33" s="58"/>
      <c r="R33" s="58"/>
      <c r="S33" s="58"/>
      <c r="T33" s="58"/>
      <c r="U33" s="39"/>
      <c r="V33" s="58"/>
      <c r="W33" s="39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</row>
    <row r="34" spans="1:55" s="42" customFormat="1" ht="13.8" x14ac:dyDescent="0.25">
      <c r="A34" s="39"/>
      <c r="B34" s="39"/>
      <c r="C34" s="39"/>
      <c r="D34" s="39"/>
      <c r="E34" s="75"/>
      <c r="F34" s="56"/>
      <c r="G34" s="56"/>
      <c r="H34" s="39"/>
      <c r="I34" s="67"/>
      <c r="J34" s="67"/>
      <c r="K34" s="57"/>
      <c r="L34" s="58"/>
      <c r="M34" s="59"/>
      <c r="N34" s="59"/>
      <c r="O34" s="58"/>
      <c r="P34" s="58"/>
      <c r="Q34" s="58"/>
      <c r="R34" s="58"/>
      <c r="S34" s="58"/>
      <c r="T34" s="58"/>
      <c r="U34" s="39"/>
      <c r="V34" s="58"/>
      <c r="W34" s="39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</row>
    <row r="35" spans="1:55" s="42" customFormat="1" ht="13.8" x14ac:dyDescent="0.25">
      <c r="A35" s="39"/>
      <c r="B35" s="39"/>
      <c r="C35" s="39"/>
      <c r="D35" s="39"/>
      <c r="E35" s="75"/>
      <c r="F35" s="56"/>
      <c r="G35" s="56"/>
      <c r="H35" s="39"/>
      <c r="I35" s="67"/>
      <c r="J35" s="67"/>
      <c r="K35" s="57"/>
      <c r="L35" s="58"/>
      <c r="M35" s="59"/>
      <c r="N35" s="59"/>
      <c r="O35" s="58"/>
      <c r="P35" s="58"/>
      <c r="Q35" s="58"/>
      <c r="R35" s="58"/>
      <c r="S35" s="58"/>
      <c r="T35" s="58"/>
      <c r="U35" s="39"/>
      <c r="V35" s="58"/>
      <c r="W35" s="39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</row>
    <row r="36" spans="1:55" s="42" customFormat="1" ht="13.8" x14ac:dyDescent="0.25">
      <c r="A36" s="39"/>
      <c r="B36" s="39"/>
      <c r="C36" s="39"/>
      <c r="D36" s="39"/>
      <c r="E36" s="75"/>
      <c r="F36" s="56"/>
      <c r="G36" s="56"/>
      <c r="H36" s="39"/>
      <c r="I36" s="67"/>
      <c r="J36" s="67"/>
      <c r="K36" s="57"/>
      <c r="L36" s="58"/>
      <c r="M36" s="59"/>
      <c r="N36" s="59"/>
      <c r="O36" s="58"/>
      <c r="P36" s="58"/>
      <c r="Q36" s="58"/>
      <c r="R36" s="58"/>
      <c r="S36" s="58"/>
      <c r="T36" s="58"/>
      <c r="U36" s="39"/>
      <c r="V36" s="58"/>
      <c r="W36" s="39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</row>
    <row r="37" spans="1:55" s="42" customFormat="1" ht="13.8" x14ac:dyDescent="0.25">
      <c r="A37" s="39"/>
      <c r="B37" s="39"/>
      <c r="C37" s="39"/>
      <c r="D37" s="39"/>
      <c r="E37" s="75"/>
      <c r="F37" s="56"/>
      <c r="G37" s="56"/>
      <c r="H37" s="39"/>
      <c r="I37" s="67"/>
      <c r="J37" s="67"/>
      <c r="K37" s="57"/>
      <c r="L37" s="58"/>
      <c r="M37" s="59"/>
      <c r="N37" s="59"/>
      <c r="O37" s="58"/>
      <c r="P37" s="58"/>
      <c r="Q37" s="58"/>
      <c r="R37" s="58"/>
      <c r="S37" s="58"/>
      <c r="T37" s="58"/>
      <c r="U37" s="39"/>
      <c r="V37" s="58"/>
      <c r="W37" s="39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</row>
    <row r="38" spans="1:55" s="42" customFormat="1" ht="13.8" x14ac:dyDescent="0.25">
      <c r="A38" s="39"/>
      <c r="B38" s="39"/>
      <c r="C38" s="39"/>
      <c r="D38" s="39"/>
      <c r="E38" s="75"/>
      <c r="F38" s="56"/>
      <c r="G38" s="56"/>
      <c r="H38" s="39"/>
      <c r="I38" s="67"/>
      <c r="J38" s="67"/>
      <c r="K38" s="57"/>
      <c r="L38" s="58"/>
      <c r="M38" s="59"/>
      <c r="N38" s="59"/>
      <c r="O38" s="58"/>
      <c r="P38" s="58"/>
      <c r="Q38" s="58"/>
      <c r="R38" s="58"/>
      <c r="S38" s="58"/>
      <c r="T38" s="58"/>
      <c r="U38" s="39"/>
      <c r="V38" s="58"/>
      <c r="W38" s="39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</row>
    <row r="39" spans="1:55" s="42" customFormat="1" ht="13.8" x14ac:dyDescent="0.25">
      <c r="A39" s="39"/>
      <c r="B39" s="39"/>
      <c r="C39" s="39"/>
      <c r="D39" s="39"/>
      <c r="E39" s="75"/>
      <c r="F39" s="56"/>
      <c r="G39" s="56"/>
      <c r="H39" s="39"/>
      <c r="I39" s="67"/>
      <c r="J39" s="67"/>
      <c r="K39" s="57"/>
      <c r="L39" s="58"/>
      <c r="M39" s="59"/>
      <c r="N39" s="59"/>
      <c r="O39" s="58"/>
      <c r="P39" s="58"/>
      <c r="Q39" s="58"/>
      <c r="R39" s="58"/>
      <c r="S39" s="58"/>
      <c r="T39" s="58"/>
      <c r="U39" s="39"/>
      <c r="V39" s="58"/>
      <c r="W39" s="39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</row>
    <row r="40" spans="1:55" s="42" customFormat="1" ht="13.8" x14ac:dyDescent="0.25">
      <c r="A40" s="39"/>
      <c r="B40" s="39"/>
      <c r="C40" s="39"/>
      <c r="D40" s="39"/>
      <c r="E40" s="75"/>
      <c r="F40" s="56"/>
      <c r="G40" s="56"/>
      <c r="H40" s="39"/>
      <c r="I40" s="67"/>
      <c r="J40" s="67"/>
      <c r="K40" s="57"/>
      <c r="L40" s="58"/>
      <c r="M40" s="59"/>
      <c r="N40" s="59"/>
      <c r="O40" s="58"/>
      <c r="P40" s="58"/>
      <c r="Q40" s="58"/>
      <c r="R40" s="58"/>
      <c r="S40" s="58"/>
      <c r="T40" s="58"/>
      <c r="U40" s="39"/>
      <c r="V40" s="58"/>
      <c r="W40" s="39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</row>
    <row r="41" spans="1:55" s="42" customFormat="1" ht="13.8" x14ac:dyDescent="0.25">
      <c r="A41" s="39"/>
      <c r="B41" s="39"/>
      <c r="C41" s="39"/>
      <c r="D41" s="39"/>
      <c r="E41" s="75"/>
      <c r="F41" s="56"/>
      <c r="G41" s="56"/>
      <c r="H41" s="39"/>
      <c r="I41" s="67"/>
      <c r="J41" s="67"/>
      <c r="K41" s="57"/>
      <c r="L41" s="58"/>
      <c r="M41" s="59"/>
      <c r="N41" s="59"/>
      <c r="O41" s="58"/>
      <c r="P41" s="58"/>
      <c r="Q41" s="58"/>
      <c r="R41" s="58"/>
      <c r="S41" s="58"/>
      <c r="T41" s="58"/>
      <c r="U41" s="39"/>
      <c r="V41" s="58"/>
      <c r="W41" s="39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</row>
    <row r="42" spans="1:55" s="42" customFormat="1" ht="13.8" x14ac:dyDescent="0.25">
      <c r="A42" s="39"/>
      <c r="B42" s="39"/>
      <c r="C42" s="39"/>
      <c r="D42" s="39"/>
      <c r="E42" s="75"/>
      <c r="F42" s="56"/>
      <c r="G42" s="56"/>
      <c r="H42" s="39"/>
      <c r="I42" s="67"/>
      <c r="J42" s="67"/>
      <c r="K42" s="57"/>
      <c r="L42" s="58"/>
      <c r="M42" s="59"/>
      <c r="N42" s="59"/>
      <c r="O42" s="58"/>
      <c r="P42" s="58"/>
      <c r="Q42" s="58"/>
      <c r="R42" s="58"/>
      <c r="S42" s="58"/>
      <c r="T42" s="58"/>
      <c r="U42" s="39"/>
      <c r="V42" s="58"/>
      <c r="W42" s="39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</row>
    <row r="43" spans="1:55" s="42" customFormat="1" ht="13.8" x14ac:dyDescent="0.25">
      <c r="A43" s="39"/>
      <c r="B43" s="39"/>
      <c r="C43" s="39"/>
      <c r="D43" s="39"/>
      <c r="E43" s="75"/>
      <c r="F43" s="56"/>
      <c r="G43" s="56"/>
      <c r="H43" s="39"/>
      <c r="I43" s="67"/>
      <c r="J43" s="67"/>
      <c r="K43" s="57"/>
      <c r="L43" s="58"/>
      <c r="M43" s="59"/>
      <c r="N43" s="59"/>
      <c r="O43" s="58"/>
      <c r="P43" s="58"/>
      <c r="Q43" s="58"/>
      <c r="R43" s="58"/>
      <c r="S43" s="58"/>
      <c r="T43" s="58"/>
      <c r="U43" s="39"/>
      <c r="V43" s="58"/>
      <c r="W43" s="39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</row>
    <row r="44" spans="1:55" s="42" customFormat="1" ht="13.8" x14ac:dyDescent="0.25">
      <c r="A44" s="39"/>
      <c r="B44" s="39"/>
      <c r="C44" s="39"/>
      <c r="D44" s="39"/>
      <c r="E44" s="75"/>
      <c r="F44" s="56"/>
      <c r="G44" s="56"/>
      <c r="H44" s="39"/>
      <c r="I44" s="67"/>
      <c r="J44" s="67"/>
      <c r="K44" s="57"/>
      <c r="L44" s="58"/>
      <c r="M44" s="59"/>
      <c r="N44" s="59"/>
      <c r="O44" s="58"/>
      <c r="P44" s="58"/>
      <c r="Q44" s="58"/>
      <c r="R44" s="58"/>
      <c r="S44" s="58"/>
      <c r="T44" s="58"/>
      <c r="U44" s="39"/>
      <c r="V44" s="58"/>
      <c r="W44" s="39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</row>
  </sheetData>
  <mergeCells count="9">
    <mergeCell ref="O9:Q9"/>
    <mergeCell ref="A3:C3"/>
    <mergeCell ref="A2:H2"/>
    <mergeCell ref="A5:C5"/>
    <mergeCell ref="D3:H3"/>
    <mergeCell ref="D4:H4"/>
    <mergeCell ref="D5:H5"/>
    <mergeCell ref="A6:C6"/>
    <mergeCell ref="D6:H6"/>
  </mergeCells>
  <pageMargins left="0.3" right="0.179861111111111" top="0.196527777777778" bottom="0.37013888888888902" header="0.51180555555555596" footer="0.51180555555555596"/>
  <pageSetup paperSize="9" scale="44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selection activeCell="B20" sqref="B20"/>
    </sheetView>
  </sheetViews>
  <sheetFormatPr defaultColWidth="9.109375" defaultRowHeight="13.2" x14ac:dyDescent="0.25"/>
  <cols>
    <col min="1" max="1" width="29" bestFit="1" customWidth="1"/>
    <col min="2" max="2" width="13" customWidth="1"/>
    <col min="3" max="3" width="5.5546875" customWidth="1"/>
    <col min="4" max="4" width="19.5546875" customWidth="1"/>
    <col min="7" max="7" width="17.5546875" customWidth="1"/>
    <col min="8" max="8" width="16.44140625" bestFit="1" customWidth="1"/>
  </cols>
  <sheetData>
    <row r="1" spans="1:10" ht="13.8" thickBot="1" x14ac:dyDescent="0.3"/>
    <row r="2" spans="1:10" ht="13.8" thickTop="1" x14ac:dyDescent="0.25">
      <c r="E2" s="93"/>
      <c r="F2" s="94"/>
      <c r="G2" s="93"/>
      <c r="H2" s="94"/>
      <c r="I2" s="95"/>
      <c r="J2" s="96"/>
    </row>
    <row r="3" spans="1:10" x14ac:dyDescent="0.25">
      <c r="B3" s="17"/>
      <c r="D3" s="45"/>
      <c r="E3" s="45"/>
      <c r="F3" s="45"/>
      <c r="G3" s="45"/>
      <c r="H3" s="45"/>
      <c r="I3" s="45"/>
      <c r="J3" s="45"/>
    </row>
    <row r="4" spans="1:10" x14ac:dyDescent="0.25">
      <c r="B4" s="18"/>
      <c r="D4" s="46"/>
      <c r="E4" s="47"/>
      <c r="F4" s="47"/>
      <c r="G4" s="47"/>
      <c r="H4" s="47"/>
      <c r="I4" s="60"/>
      <c r="J4" s="61"/>
    </row>
    <row r="5" spans="1:10" x14ac:dyDescent="0.25">
      <c r="B5" s="18"/>
      <c r="D5" s="46"/>
      <c r="E5" s="48"/>
      <c r="F5" s="48"/>
      <c r="G5" s="48"/>
      <c r="H5" s="48"/>
      <c r="I5" s="60"/>
      <c r="J5" s="61"/>
    </row>
    <row r="6" spans="1:10" x14ac:dyDescent="0.25">
      <c r="D6" s="46"/>
      <c r="E6" s="48"/>
      <c r="F6" s="48"/>
      <c r="G6" s="48"/>
      <c r="H6" s="48"/>
      <c r="I6" s="48"/>
      <c r="J6" s="61"/>
    </row>
    <row r="7" spans="1:10" ht="13.8" thickBot="1" x14ac:dyDescent="0.3">
      <c r="C7" s="40"/>
      <c r="D7" s="46"/>
      <c r="E7" s="48"/>
      <c r="F7" s="48"/>
      <c r="G7" s="48"/>
      <c r="H7" s="48"/>
      <c r="I7" s="48"/>
      <c r="J7" s="62"/>
    </row>
    <row r="8" spans="1:10" ht="14.4" thickTop="1" thickBot="1" x14ac:dyDescent="0.3">
      <c r="J8" s="55"/>
    </row>
    <row r="9" spans="1:10" x14ac:dyDescent="0.25">
      <c r="A9" s="16"/>
      <c r="B9" s="15"/>
      <c r="C9" s="15"/>
      <c r="D9" s="15"/>
      <c r="E9" s="15"/>
      <c r="F9" s="15"/>
      <c r="G9" s="15"/>
      <c r="H9" s="15"/>
      <c r="I9" s="14"/>
    </row>
    <row r="10" spans="1:10" x14ac:dyDescent="0.25">
      <c r="A10" s="13"/>
      <c r="B10" s="12"/>
      <c r="C10" s="12"/>
      <c r="D10" s="12"/>
      <c r="E10" s="12"/>
      <c r="F10" s="12"/>
      <c r="G10" s="12"/>
      <c r="H10" s="12"/>
      <c r="I10" s="33"/>
    </row>
    <row r="11" spans="1:10" x14ac:dyDescent="0.25">
      <c r="A11" s="13"/>
      <c r="B11" s="12"/>
      <c r="C11" s="12"/>
      <c r="D11" s="12"/>
      <c r="E11" s="12"/>
      <c r="F11" s="12"/>
      <c r="G11" s="12"/>
      <c r="H11" s="12"/>
      <c r="I11" s="33"/>
    </row>
    <row r="12" spans="1:10" x14ac:dyDescent="0.25">
      <c r="A12" s="13"/>
      <c r="B12" s="12"/>
      <c r="C12" s="12"/>
      <c r="D12" s="12"/>
      <c r="E12" s="12"/>
      <c r="F12" s="12"/>
      <c r="G12" s="12"/>
      <c r="H12" s="12"/>
      <c r="I12" s="33"/>
    </row>
    <row r="13" spans="1:10" x14ac:dyDescent="0.25">
      <c r="A13" s="13"/>
      <c r="B13" s="12"/>
      <c r="C13" s="12"/>
      <c r="D13" s="12"/>
      <c r="E13" s="12"/>
      <c r="F13" s="12"/>
      <c r="G13" s="12"/>
      <c r="H13" s="12"/>
      <c r="I13" s="33"/>
    </row>
    <row r="14" spans="1:10" x14ac:dyDescent="0.25">
      <c r="A14" s="13"/>
      <c r="B14" s="12"/>
      <c r="C14" s="12"/>
      <c r="D14" s="12"/>
      <c r="E14" s="12"/>
      <c r="F14" s="12"/>
      <c r="G14" s="12"/>
      <c r="H14" s="12"/>
      <c r="I14" s="33"/>
    </row>
    <row r="15" spans="1:10" x14ac:dyDescent="0.25">
      <c r="A15" s="13"/>
      <c r="B15" s="12"/>
      <c r="C15" s="12"/>
      <c r="D15" s="12"/>
      <c r="E15" s="12"/>
      <c r="F15" s="12"/>
      <c r="G15" s="12"/>
      <c r="H15" s="12"/>
      <c r="I15" s="33"/>
    </row>
    <row r="16" spans="1:10" x14ac:dyDescent="0.25">
      <c r="A16" s="13"/>
      <c r="B16" s="12"/>
      <c r="C16" s="12"/>
      <c r="D16" s="12"/>
      <c r="E16" s="12"/>
      <c r="F16" s="12"/>
      <c r="G16" s="12"/>
      <c r="H16" s="12"/>
      <c r="I16" s="33"/>
    </row>
    <row r="17" spans="1:9" x14ac:dyDescent="0.25">
      <c r="A17" s="13"/>
      <c r="B17" s="12"/>
      <c r="C17" s="12"/>
      <c r="D17" s="12"/>
      <c r="E17" s="12"/>
      <c r="F17" s="12"/>
      <c r="G17" s="12"/>
      <c r="H17" s="12"/>
      <c r="I17" s="33"/>
    </row>
    <row r="18" spans="1:9" x14ac:dyDescent="0.25">
      <c r="A18" s="13"/>
      <c r="B18" s="12"/>
      <c r="C18" s="12"/>
      <c r="D18" s="12"/>
      <c r="E18" s="12"/>
      <c r="F18" s="12"/>
      <c r="G18" s="12"/>
      <c r="H18" s="12"/>
      <c r="I18" s="33"/>
    </row>
    <row r="19" spans="1:9" x14ac:dyDescent="0.25">
      <c r="A19" s="13"/>
      <c r="B19" s="12"/>
      <c r="C19" s="12"/>
      <c r="D19" s="12"/>
      <c r="E19" s="12"/>
      <c r="F19" s="12"/>
      <c r="G19" s="12"/>
      <c r="H19" s="12"/>
      <c r="I19" s="33"/>
    </row>
    <row r="20" spans="1:9" x14ac:dyDescent="0.25">
      <c r="A20" s="13"/>
      <c r="B20" s="12"/>
      <c r="C20" s="12"/>
      <c r="D20" s="12"/>
      <c r="E20" s="12"/>
      <c r="F20" s="12"/>
      <c r="G20" s="12"/>
      <c r="H20" s="12"/>
      <c r="I20" s="33"/>
    </row>
    <row r="21" spans="1:9" x14ac:dyDescent="0.25">
      <c r="A21" s="13"/>
      <c r="B21" s="12"/>
      <c r="C21" s="12"/>
      <c r="D21" s="12"/>
      <c r="E21" s="12"/>
      <c r="F21" s="12"/>
      <c r="G21" s="12"/>
      <c r="H21" s="12"/>
      <c r="I21" s="33"/>
    </row>
    <row r="22" spans="1:9" x14ac:dyDescent="0.25">
      <c r="A22" s="13"/>
      <c r="B22" s="12"/>
      <c r="C22" s="12"/>
      <c r="D22" s="12"/>
      <c r="E22" s="12"/>
      <c r="F22" s="12"/>
      <c r="G22" s="12"/>
      <c r="H22" s="12"/>
      <c r="I22" s="33"/>
    </row>
    <row r="23" spans="1:9" x14ac:dyDescent="0.25">
      <c r="A23" s="13"/>
      <c r="B23" s="12"/>
      <c r="C23" s="12"/>
      <c r="D23" s="12"/>
      <c r="E23" s="12"/>
      <c r="F23" s="12"/>
      <c r="G23" s="12"/>
      <c r="H23" s="12"/>
      <c r="I23" s="33"/>
    </row>
    <row r="24" spans="1:9" x14ac:dyDescent="0.25">
      <c r="A24" s="13"/>
      <c r="B24" s="12"/>
      <c r="C24" s="12"/>
      <c r="D24" s="12"/>
      <c r="E24" s="12"/>
      <c r="F24" s="12"/>
      <c r="G24" s="12"/>
      <c r="H24" s="12"/>
      <c r="I24" s="33"/>
    </row>
    <row r="25" spans="1:9" x14ac:dyDescent="0.25">
      <c r="A25" s="13"/>
      <c r="B25" s="12"/>
      <c r="C25" s="12"/>
      <c r="D25" s="12"/>
      <c r="E25" s="12"/>
      <c r="F25" s="12"/>
      <c r="G25" s="12"/>
      <c r="H25" s="12"/>
      <c r="I25" s="33"/>
    </row>
    <row r="26" spans="1:9" x14ac:dyDescent="0.25">
      <c r="A26" s="13"/>
      <c r="B26" s="12"/>
      <c r="C26" s="12"/>
      <c r="D26" s="12"/>
      <c r="E26" s="12"/>
      <c r="F26" s="12"/>
      <c r="G26" s="12"/>
      <c r="H26" s="12"/>
      <c r="I26" s="33"/>
    </row>
    <row r="27" spans="1:9" x14ac:dyDescent="0.25">
      <c r="A27" s="13"/>
      <c r="B27" s="12"/>
      <c r="C27" s="12"/>
      <c r="D27" s="12"/>
      <c r="E27" s="12"/>
      <c r="F27" s="12"/>
      <c r="G27" s="12"/>
      <c r="H27" s="12"/>
      <c r="I27" s="33"/>
    </row>
    <row r="28" spans="1:9" x14ac:dyDescent="0.25">
      <c r="A28" s="13"/>
      <c r="B28" s="12"/>
      <c r="C28" s="12"/>
      <c r="D28" s="12"/>
      <c r="E28" s="12"/>
      <c r="F28" s="12"/>
      <c r="G28" s="12"/>
      <c r="H28" s="12"/>
      <c r="I28" s="33"/>
    </row>
    <row r="29" spans="1:9" x14ac:dyDescent="0.25">
      <c r="A29" s="13"/>
      <c r="B29" s="12"/>
      <c r="C29" s="12"/>
      <c r="D29" s="12"/>
      <c r="E29" s="12"/>
      <c r="F29" s="12"/>
      <c r="G29" s="12"/>
      <c r="H29" s="12"/>
      <c r="I29" s="33"/>
    </row>
    <row r="30" spans="1:9" x14ac:dyDescent="0.25">
      <c r="A30" s="13"/>
      <c r="B30" s="12"/>
      <c r="C30" s="12"/>
      <c r="D30" s="12"/>
      <c r="E30" s="12"/>
      <c r="F30" s="12"/>
      <c r="G30" s="12"/>
      <c r="H30" s="12"/>
      <c r="I30" s="33"/>
    </row>
    <row r="31" spans="1:9" x14ac:dyDescent="0.25">
      <c r="A31" s="32"/>
      <c r="B31" s="32"/>
      <c r="C31" s="32"/>
      <c r="D31" s="32"/>
      <c r="E31" s="32"/>
      <c r="F31" s="32"/>
      <c r="G31" s="32"/>
      <c r="H31" s="32"/>
      <c r="I31" s="32"/>
    </row>
  </sheetData>
  <mergeCells count="3">
    <mergeCell ref="E2:F2"/>
    <mergeCell ref="G2:H2"/>
    <mergeCell ref="I2:J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LIST</vt:lpstr>
      <vt:lpstr>Summary of LIST</vt:lpstr>
      <vt:lpstr>__SummaryBerthRow__</vt:lpstr>
      <vt:lpstr>_Berth_</vt:lpstr>
      <vt:lpstr>_Berth_ALIAS_S2_</vt:lpstr>
      <vt:lpstr>_PortCall_</vt:lpstr>
      <vt:lpstr>_PortCall_ALIAS_S2_</vt:lpstr>
      <vt:lpstr>_SummaryTotal_</vt:lpstr>
      <vt:lpstr>LIST!Print_Area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Domeracki</dc:creator>
  <cp:lastModifiedBy>Lijo Abraham</cp:lastModifiedBy>
  <cp:lastPrinted>2009-11-20T20:09:15Z</cp:lastPrinted>
  <dcterms:created xsi:type="dcterms:W3CDTF">2023-08-03T14:24:33Z</dcterms:created>
  <dcterms:modified xsi:type="dcterms:W3CDTF">2023-08-15T06:11:54Z</dcterms:modified>
</cp:coreProperties>
</file>