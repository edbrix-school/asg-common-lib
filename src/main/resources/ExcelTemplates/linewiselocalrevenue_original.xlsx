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.support1\Desktop\"/>
    </mc:Choice>
  </mc:AlternateContent>
  <bookViews>
    <workbookView xWindow="0" yWindow="0" windowWidth="19200" windowHeight="7305"/>
  </bookViews>
  <sheets>
    <sheet name="Summary" sheetId="2" r:id="rId1"/>
  </sheets>
  <definedNames>
    <definedName name="_xlnm.Print_Area" localSheetId="0">Summary!$A$1:$O$51</definedName>
  </definedNames>
  <calcPr calcId="152511"/>
</workbook>
</file>

<file path=xl/calcChain.xml><?xml version="1.0" encoding="utf-8"?>
<calcChain xmlns="http://schemas.openxmlformats.org/spreadsheetml/2006/main">
  <c r="J51" i="2" l="1"/>
  <c r="G51" i="2"/>
  <c r="G53" i="2" s="1"/>
  <c r="E51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R50" i="2"/>
  <c r="R51" i="2" s="1"/>
  <c r="R53" i="2" s="1"/>
  <c r="P50" i="2"/>
  <c r="P51" i="2" s="1"/>
  <c r="P53" i="2" s="1"/>
  <c r="M51" i="2"/>
  <c r="M53" i="2" s="1"/>
  <c r="L51" i="2"/>
  <c r="L53" i="2" s="1"/>
  <c r="H51" i="2"/>
  <c r="H53" i="2" s="1"/>
  <c r="C51" i="2"/>
  <c r="C53" i="2" s="1"/>
  <c r="F51" i="2" l="1"/>
  <c r="F53" i="2" s="1"/>
  <c r="K51" i="2"/>
  <c r="K53" i="2" s="1"/>
  <c r="Q50" i="2"/>
  <c r="D51" i="2"/>
  <c r="D53" i="2" s="1"/>
  <c r="S17" i="2" l="1"/>
  <c r="S6" i="2"/>
  <c r="S22" i="2"/>
  <c r="S14" i="2"/>
  <c r="S12" i="2"/>
  <c r="S10" i="2"/>
  <c r="S8" i="2"/>
  <c r="S25" i="2"/>
  <c r="S7" i="2"/>
  <c r="S9" i="2"/>
  <c r="S19" i="2"/>
  <c r="S15" i="2"/>
  <c r="S20" i="2"/>
  <c r="S13" i="2"/>
  <c r="S18" i="2"/>
  <c r="S23" i="2"/>
  <c r="S21" i="2"/>
  <c r="S24" i="2"/>
  <c r="S11" i="2"/>
  <c r="S16" i="2"/>
  <c r="I51" i="2"/>
  <c r="I53" i="2" s="1"/>
  <c r="S5" i="2" l="1"/>
  <c r="N51" i="2"/>
  <c r="S50" i="2"/>
  <c r="O51" i="2" l="1"/>
</calcChain>
</file>

<file path=xl/sharedStrings.xml><?xml version="1.0" encoding="utf-8"?>
<sst xmlns="http://schemas.openxmlformats.org/spreadsheetml/2006/main" count="39" uniqueCount="39">
  <si>
    <t>LINE</t>
  </si>
  <si>
    <t>DO_AMOUNT</t>
  </si>
  <si>
    <t>ADP_IMP</t>
  </si>
  <si>
    <t>CRSC</t>
  </si>
  <si>
    <t>FRT_REV</t>
  </si>
  <si>
    <t>ADP_EXP</t>
  </si>
  <si>
    <t>CNTR20</t>
  </si>
  <si>
    <t>CNTR40</t>
  </si>
  <si>
    <t>Total</t>
  </si>
  <si>
    <t>TKING</t>
  </si>
  <si>
    <t>SMI06</t>
  </si>
  <si>
    <t>SIT</t>
  </si>
  <si>
    <t>EAGLE</t>
  </si>
  <si>
    <t>PRI011</t>
  </si>
  <si>
    <t>PAN</t>
  </si>
  <si>
    <t>VICS</t>
  </si>
  <si>
    <t>VANU</t>
  </si>
  <si>
    <t>SHRAF</t>
  </si>
  <si>
    <t>ALM07</t>
  </si>
  <si>
    <t>LAUR</t>
  </si>
  <si>
    <t>KDKS2</t>
  </si>
  <si>
    <t>POL</t>
  </si>
  <si>
    <t>UTTC</t>
  </si>
  <si>
    <t>PRIM01</t>
  </si>
  <si>
    <t>PRI007</t>
  </si>
  <si>
    <t>MARTD</t>
  </si>
  <si>
    <t>HGSC2</t>
  </si>
  <si>
    <t>HDS</t>
  </si>
  <si>
    <t>Sl.</t>
  </si>
  <si>
    <t>Rate - BD</t>
  </si>
  <si>
    <t>D/O_Count</t>
  </si>
  <si>
    <t>BL_COUNT</t>
  </si>
  <si>
    <t>BL_AMT</t>
  </si>
  <si>
    <t>Total Local Revenue</t>
  </si>
  <si>
    <t>Import Boxes</t>
  </si>
  <si>
    <t>Export_Boxes</t>
  </si>
  <si>
    <t>A M O U N T  - B D</t>
  </si>
  <si>
    <t>Monthly  Average</t>
  </si>
  <si>
    <t>Linewise Local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</si>
</sst>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164" fontId="0" fillId="0" borderId="0" xfId="1" applyNumberFormat="1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right" vertical="center" wrapText="1"/>
    </xf>
    <xf numFmtId="0" fontId="0" fillId="0" borderId="10" xfId="0" applyBorder="1" applyAlignment="1">
      <alignment vertical="center"/>
    </xf>
    <xf numFmtId="0" fontId="16" fillId="33" borderId="10" xfId="0" applyFont="1" applyFill="1" applyBorder="1" applyAlignment="1">
      <alignment horizontal="right" vertical="center"/>
    </xf>
    <xf numFmtId="0" fontId="16" fillId="33" borderId="10" xfId="0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1" applyNumberFormat="1" applyFont="1" applyBorder="1"/>
    <xf numFmtId="0" fontId="0" fillId="0" borderId="13" xfId="0" applyBorder="1" applyAlignment="1">
      <alignment horizontal="center"/>
    </xf>
    <xf numFmtId="0" fontId="0" fillId="0" borderId="13" xfId="0" applyBorder="1"/>
    <xf numFmtId="164" fontId="0" fillId="0" borderId="13" xfId="1" applyNumberFormat="1" applyFont="1" applyBorder="1"/>
    <xf numFmtId="0" fontId="0" fillId="0" borderId="15" xfId="0" applyBorder="1" applyAlignment="1">
      <alignment horizontal="center"/>
    </xf>
    <xf numFmtId="0" fontId="0" fillId="0" borderId="15" xfId="0" applyBorder="1"/>
    <xf numFmtId="164" fontId="0" fillId="0" borderId="15" xfId="1" applyNumberFormat="1" applyFont="1" applyBorder="1"/>
    <xf numFmtId="0" fontId="19" fillId="0" borderId="14" xfId="0" applyFont="1" applyBorder="1"/>
    <xf numFmtId="164" fontId="19" fillId="0" borderId="14" xfId="1" applyNumberFormat="1" applyFont="1" applyBorder="1"/>
    <xf numFmtId="0" fontId="16" fillId="0" borderId="0" xfId="0" applyFont="1"/>
    <xf numFmtId="43" fontId="0" fillId="0" borderId="0" xfId="0" applyNumberFormat="1"/>
    <xf numFmtId="0" fontId="18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6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defaultRowHeight="15" x14ac:dyDescent="0.25"/>
  <cols>
    <col min="1" max="1" width="6.140625" customWidth="1"/>
    <col min="2" max="2" width="13.140625" customWidth="1"/>
    <col min="3" max="3" width="11.140625" customWidth="1"/>
    <col min="4" max="4" width="13.85546875" customWidth="1"/>
    <col min="5" max="5" width="12.42578125" customWidth="1"/>
    <col min="6" max="6" width="11.140625" customWidth="1"/>
    <col min="7" max="7" width="8.42578125" customWidth="1"/>
    <col min="8" max="8" width="9.5703125" customWidth="1"/>
    <col min="9" max="9" width="11.7109375" customWidth="1"/>
    <col min="10" max="10" width="12.42578125" customWidth="1"/>
    <col min="11" max="11" width="11.28515625" customWidth="1"/>
    <col min="12" max="13" width="10.140625" hidden="1" customWidth="1"/>
    <col min="14" max="14" width="17.42578125" customWidth="1"/>
    <col min="15" max="15" width="15.7109375" customWidth="1"/>
    <col min="16" max="16" width="13.42578125" hidden="1" customWidth="1"/>
    <col min="17" max="17" width="13.140625" hidden="1" customWidth="1"/>
    <col min="18" max="18" width="11.140625" hidden="1" customWidth="1"/>
    <col min="19" max="19" width="10.140625" hidden="1" customWidth="1"/>
    <col min="20" max="20" width="1.85546875" hidden="1" customWidth="1"/>
    <col min="21" max="21" width="8.7109375" customWidth="1"/>
    <col min="22" max="22" width="13.42578125" customWidth="1"/>
  </cols>
  <sheetData>
    <row r="1" spans="1:20" ht="26.25" x14ac:dyDescent="0.4">
      <c r="A1" s="23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20" ht="26.45" customHeight="1" x14ac:dyDescent="0.25">
      <c r="K2" s="21" t="s">
        <v>36</v>
      </c>
    </row>
    <row r="3" spans="1:20" s="1" customFormat="1" ht="27" customHeight="1" x14ac:dyDescent="0.25">
      <c r="A3" s="3" t="s">
        <v>28</v>
      </c>
      <c r="B3" s="4" t="s">
        <v>0</v>
      </c>
      <c r="C3" s="5" t="s">
        <v>30</v>
      </c>
      <c r="D3" s="5" t="s">
        <v>1</v>
      </c>
      <c r="E3" s="5" t="s">
        <v>34</v>
      </c>
      <c r="F3" s="5" t="s">
        <v>2</v>
      </c>
      <c r="G3" s="5" t="s">
        <v>3</v>
      </c>
      <c r="H3" s="5" t="s">
        <v>31</v>
      </c>
      <c r="I3" s="5" t="s">
        <v>32</v>
      </c>
      <c r="J3" s="5" t="s">
        <v>35</v>
      </c>
      <c r="K3" s="5" t="s">
        <v>5</v>
      </c>
      <c r="L3" s="5" t="s">
        <v>6</v>
      </c>
      <c r="M3" s="5" t="s">
        <v>7</v>
      </c>
      <c r="N3" s="6" t="s">
        <v>33</v>
      </c>
      <c r="O3" s="6" t="s">
        <v>37</v>
      </c>
      <c r="P3" s="1" t="s">
        <v>8</v>
      </c>
      <c r="R3" s="1" t="s">
        <v>4</v>
      </c>
    </row>
    <row r="4" spans="1:20" s="1" customFormat="1" ht="29.1" customHeight="1" thickBot="1" x14ac:dyDescent="0.3">
      <c r="A4" s="7"/>
      <c r="B4" s="8" t="s">
        <v>29</v>
      </c>
      <c r="C4" s="9"/>
      <c r="D4" s="9">
        <v>30</v>
      </c>
      <c r="E4" s="9"/>
      <c r="F4" s="9">
        <v>10</v>
      </c>
      <c r="G4" s="9">
        <v>15</v>
      </c>
      <c r="H4" s="9"/>
      <c r="I4" s="9">
        <v>30</v>
      </c>
      <c r="J4" s="9"/>
      <c r="K4" s="9">
        <v>7</v>
      </c>
      <c r="L4" s="7"/>
      <c r="M4" s="7"/>
      <c r="N4" s="7"/>
      <c r="O4" s="7"/>
    </row>
    <row r="5" spans="1:20" ht="19.5" customHeight="1" x14ac:dyDescent="0.25">
      <c r="A5" s="10">
        <v>1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>
        <v>930676</v>
      </c>
      <c r="Q5" s="2">
        <f>P5-R5</f>
        <v>585157</v>
      </c>
      <c r="R5" s="2">
        <v>345519</v>
      </c>
      <c r="S5" s="2">
        <f>+Q5-N5</f>
        <v>585157</v>
      </c>
      <c r="T5" s="2"/>
    </row>
    <row r="6" spans="1:20" ht="19.5" customHeight="1" x14ac:dyDescent="0.25">
      <c r="A6" s="13">
        <v>2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2">
        <v>190279</v>
      </c>
      <c r="Q6" s="2">
        <f t="shared" ref="Q6:Q50" si="0">P6-R6</f>
        <v>175681</v>
      </c>
      <c r="R6" s="2">
        <v>14598</v>
      </c>
      <c r="S6" s="2">
        <f t="shared" ref="S6:S50" si="1">+Q6-N6</f>
        <v>175681</v>
      </c>
      <c r="T6" s="2"/>
    </row>
    <row r="7" spans="1:20" ht="19.5" customHeight="1" x14ac:dyDescent="0.25">
      <c r="A7" s="13">
        <v>3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2">
        <v>97179</v>
      </c>
      <c r="Q7" s="2">
        <f t="shared" si="0"/>
        <v>82668</v>
      </c>
      <c r="R7" s="2">
        <v>14511</v>
      </c>
      <c r="S7" s="2">
        <f t="shared" si="1"/>
        <v>82668</v>
      </c>
      <c r="T7" s="2"/>
    </row>
    <row r="8" spans="1:20" ht="19.5" customHeight="1" x14ac:dyDescent="0.25">
      <c r="A8" s="13">
        <v>4</v>
      </c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2">
        <v>50767</v>
      </c>
      <c r="Q8" s="2">
        <f t="shared" si="0"/>
        <v>46740</v>
      </c>
      <c r="R8" s="2">
        <v>4027</v>
      </c>
      <c r="S8" s="2">
        <f t="shared" si="1"/>
        <v>46740</v>
      </c>
      <c r="T8" s="2"/>
    </row>
    <row r="9" spans="1:20" ht="19.5" customHeight="1" x14ac:dyDescent="0.25">
      <c r="A9" s="13">
        <v>5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2">
        <v>38612</v>
      </c>
      <c r="Q9" s="2">
        <f t="shared" si="0"/>
        <v>36855</v>
      </c>
      <c r="R9" s="2">
        <v>1757</v>
      </c>
      <c r="S9" s="2">
        <f t="shared" si="1"/>
        <v>36855</v>
      </c>
      <c r="T9" s="2"/>
    </row>
    <row r="10" spans="1:20" ht="19.5" customHeight="1" x14ac:dyDescent="0.25">
      <c r="A10" s="13">
        <v>6</v>
      </c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">
        <v>14285</v>
      </c>
      <c r="Q10" s="2">
        <f t="shared" si="0"/>
        <v>14285</v>
      </c>
      <c r="R10" s="2">
        <v>0</v>
      </c>
      <c r="S10" s="2">
        <f t="shared" si="1"/>
        <v>14285</v>
      </c>
      <c r="T10" s="2"/>
    </row>
    <row r="11" spans="1:20" ht="19.5" customHeight="1" x14ac:dyDescent="0.25">
      <c r="A11" s="13">
        <v>7</v>
      </c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">
        <v>31789</v>
      </c>
      <c r="Q11" s="2">
        <f t="shared" si="0"/>
        <v>29955</v>
      </c>
      <c r="R11" s="2">
        <v>1834</v>
      </c>
      <c r="S11" s="2">
        <f t="shared" si="1"/>
        <v>29955</v>
      </c>
      <c r="T11" s="2"/>
    </row>
    <row r="12" spans="1:20" ht="19.5" customHeight="1" x14ac:dyDescent="0.25">
      <c r="A12" s="13">
        <v>8</v>
      </c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">
        <v>23853</v>
      </c>
      <c r="Q12" s="2">
        <f t="shared" si="0"/>
        <v>22838</v>
      </c>
      <c r="R12" s="2">
        <v>1015</v>
      </c>
      <c r="S12" s="2">
        <f t="shared" si="1"/>
        <v>22838</v>
      </c>
      <c r="T12" s="2"/>
    </row>
    <row r="13" spans="1:20" ht="19.5" customHeight="1" x14ac:dyDescent="0.25">
      <c r="A13" s="13">
        <v>9</v>
      </c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">
        <v>20146</v>
      </c>
      <c r="Q13" s="2">
        <f t="shared" si="0"/>
        <v>17721</v>
      </c>
      <c r="R13" s="2">
        <v>2425</v>
      </c>
      <c r="S13" s="2">
        <f t="shared" si="1"/>
        <v>17721</v>
      </c>
      <c r="T13" s="2"/>
    </row>
    <row r="14" spans="1:20" ht="19.5" customHeight="1" x14ac:dyDescent="0.25">
      <c r="A14" s="13">
        <v>10</v>
      </c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">
        <v>23661</v>
      </c>
      <c r="Q14" s="2">
        <f t="shared" si="0"/>
        <v>21409</v>
      </c>
      <c r="R14" s="2">
        <v>2252</v>
      </c>
      <c r="S14" s="2">
        <f t="shared" si="1"/>
        <v>21409</v>
      </c>
      <c r="T14" s="2"/>
    </row>
    <row r="15" spans="1:20" ht="19.5" customHeight="1" x14ac:dyDescent="0.25">
      <c r="A15" s="13">
        <v>11</v>
      </c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2">
        <v>7440</v>
      </c>
      <c r="Q15" s="2">
        <f t="shared" si="0"/>
        <v>6840</v>
      </c>
      <c r="R15" s="2">
        <v>600</v>
      </c>
      <c r="S15" s="2">
        <f t="shared" si="1"/>
        <v>6840</v>
      </c>
      <c r="T15" s="2"/>
    </row>
    <row r="16" spans="1:20" ht="19.5" customHeight="1" x14ac:dyDescent="0.25">
      <c r="A16" s="13">
        <v>12</v>
      </c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2">
        <v>49139</v>
      </c>
      <c r="Q16" s="2">
        <f t="shared" si="0"/>
        <v>6045</v>
      </c>
      <c r="R16" s="2">
        <v>43094</v>
      </c>
      <c r="S16" s="2">
        <f t="shared" si="1"/>
        <v>6045</v>
      </c>
      <c r="T16" s="2"/>
    </row>
    <row r="17" spans="1:20" ht="19.5" customHeight="1" x14ac:dyDescent="0.25">
      <c r="A17" s="13">
        <v>13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2">
        <v>6015</v>
      </c>
      <c r="Q17" s="2">
        <f t="shared" si="0"/>
        <v>6015</v>
      </c>
      <c r="R17" s="2">
        <v>0</v>
      </c>
      <c r="S17" s="2">
        <f t="shared" si="1"/>
        <v>6015</v>
      </c>
      <c r="T17" s="2"/>
    </row>
    <row r="18" spans="1:20" ht="19.5" customHeight="1" x14ac:dyDescent="0.25">
      <c r="A18" s="13">
        <v>14</v>
      </c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2">
        <v>3613</v>
      </c>
      <c r="Q18" s="2">
        <f t="shared" si="0"/>
        <v>3295</v>
      </c>
      <c r="R18" s="2">
        <v>318</v>
      </c>
      <c r="S18" s="2">
        <f t="shared" si="1"/>
        <v>3295</v>
      </c>
      <c r="T18" s="2"/>
    </row>
    <row r="19" spans="1:20" ht="19.5" customHeight="1" x14ac:dyDescent="0.25">
      <c r="A19" s="13">
        <v>15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">
        <v>3516</v>
      </c>
      <c r="Q19" s="2">
        <f t="shared" si="0"/>
        <v>3370</v>
      </c>
      <c r="R19" s="2">
        <v>146</v>
      </c>
      <c r="S19" s="2">
        <f t="shared" si="1"/>
        <v>3370</v>
      </c>
      <c r="T19" s="2"/>
    </row>
    <row r="20" spans="1:20" ht="19.5" customHeight="1" x14ac:dyDescent="0.25">
      <c r="A20" s="13">
        <v>16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">
        <v>3179</v>
      </c>
      <c r="Q20" s="2">
        <f t="shared" si="0"/>
        <v>3179</v>
      </c>
      <c r="R20" s="2">
        <v>0</v>
      </c>
      <c r="S20" s="2">
        <f t="shared" si="1"/>
        <v>3179</v>
      </c>
      <c r="T20" s="2"/>
    </row>
    <row r="21" spans="1:20" ht="19.5" customHeight="1" x14ac:dyDescent="0.25">
      <c r="A21" s="13">
        <v>17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">
        <v>7004</v>
      </c>
      <c r="Q21" s="2">
        <f t="shared" si="0"/>
        <v>5023</v>
      </c>
      <c r="R21" s="2">
        <v>1981</v>
      </c>
      <c r="S21" s="2">
        <f t="shared" si="1"/>
        <v>5023</v>
      </c>
      <c r="T21" s="2"/>
    </row>
    <row r="22" spans="1:20" ht="19.5" customHeight="1" x14ac:dyDescent="0.25">
      <c r="A22" s="13">
        <v>18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">
        <v>3922</v>
      </c>
      <c r="Q22" s="2">
        <f t="shared" si="0"/>
        <v>3645</v>
      </c>
      <c r="R22" s="2">
        <v>277</v>
      </c>
      <c r="S22" s="2">
        <f t="shared" si="1"/>
        <v>3645</v>
      </c>
      <c r="T22" s="2"/>
    </row>
    <row r="23" spans="1:20" ht="19.5" customHeight="1" x14ac:dyDescent="0.25">
      <c r="A23" s="13">
        <v>19</v>
      </c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">
        <v>2535</v>
      </c>
      <c r="Q23" s="2">
        <f t="shared" si="0"/>
        <v>2505</v>
      </c>
      <c r="R23" s="2">
        <v>30</v>
      </c>
      <c r="S23" s="2">
        <f t="shared" si="1"/>
        <v>2505</v>
      </c>
      <c r="T23" s="2"/>
    </row>
    <row r="24" spans="1:20" ht="19.5" customHeight="1" x14ac:dyDescent="0.25">
      <c r="A24" s="13">
        <v>20</v>
      </c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">
        <v>3827</v>
      </c>
      <c r="Q24" s="2">
        <f t="shared" si="0"/>
        <v>3513</v>
      </c>
      <c r="R24" s="2">
        <v>314</v>
      </c>
      <c r="S24" s="2">
        <f t="shared" si="1"/>
        <v>3513</v>
      </c>
      <c r="T24" s="2"/>
    </row>
    <row r="25" spans="1:20" ht="19.5" customHeight="1" x14ac:dyDescent="0.25">
      <c r="A25" s="13">
        <v>21</v>
      </c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2">
        <v>3941</v>
      </c>
      <c r="Q25" s="2">
        <f t="shared" si="0"/>
        <v>3647</v>
      </c>
      <c r="R25" s="2">
        <v>294</v>
      </c>
      <c r="S25" s="2">
        <f t="shared" si="1"/>
        <v>3647</v>
      </c>
      <c r="T25" s="2"/>
    </row>
    <row r="26" spans="1:20" ht="19.5" customHeight="1" x14ac:dyDescent="0.25">
      <c r="A26" s="16">
        <v>22</v>
      </c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"/>
      <c r="Q26" s="2"/>
      <c r="R26" s="2"/>
      <c r="S26" s="2"/>
      <c r="T26" s="2"/>
    </row>
    <row r="27" spans="1:20" ht="19.5" customHeight="1" x14ac:dyDescent="0.25">
      <c r="A27" s="13">
        <v>23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"/>
      <c r="Q27" s="2"/>
      <c r="R27" s="2"/>
      <c r="S27" s="2"/>
      <c r="T27" s="2"/>
    </row>
    <row r="28" spans="1:20" ht="19.5" customHeight="1" x14ac:dyDescent="0.25">
      <c r="A28" s="13">
        <v>24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"/>
      <c r="Q28" s="2"/>
      <c r="R28" s="2"/>
      <c r="S28" s="2"/>
      <c r="T28" s="2"/>
    </row>
    <row r="29" spans="1:20" ht="19.5" customHeight="1" x14ac:dyDescent="0.25">
      <c r="A29" s="16">
        <v>25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"/>
      <c r="Q29" s="2"/>
      <c r="R29" s="2"/>
      <c r="S29" s="2"/>
      <c r="T29" s="2"/>
    </row>
    <row r="30" spans="1:20" ht="19.5" customHeight="1" x14ac:dyDescent="0.25">
      <c r="A30" s="13">
        <v>26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2"/>
      <c r="Q30" s="2"/>
      <c r="R30" s="2"/>
      <c r="S30" s="2"/>
      <c r="T30" s="2"/>
    </row>
    <row r="31" spans="1:20" ht="19.5" customHeight="1" x14ac:dyDescent="0.25">
      <c r="A31" s="13">
        <v>27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"/>
      <c r="Q31" s="2"/>
      <c r="R31" s="2"/>
      <c r="S31" s="2"/>
      <c r="T31" s="2"/>
    </row>
    <row r="32" spans="1:20" ht="19.5" customHeight="1" x14ac:dyDescent="0.25">
      <c r="A32" s="16">
        <v>28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2"/>
      <c r="Q32" s="2"/>
      <c r="R32" s="2"/>
      <c r="S32" s="2"/>
      <c r="T32" s="2"/>
    </row>
    <row r="33" spans="1:20" ht="19.5" customHeight="1" x14ac:dyDescent="0.25">
      <c r="A33" s="13">
        <v>29</v>
      </c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2"/>
      <c r="Q33" s="2"/>
      <c r="R33" s="2"/>
      <c r="S33" s="2"/>
      <c r="T33" s="2"/>
    </row>
    <row r="34" spans="1:20" ht="19.5" customHeight="1" x14ac:dyDescent="0.25">
      <c r="A34" s="13">
        <v>30</v>
      </c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2"/>
      <c r="Q34" s="2"/>
      <c r="R34" s="2"/>
      <c r="S34" s="2"/>
      <c r="T34" s="2"/>
    </row>
    <row r="35" spans="1:20" ht="19.5" customHeight="1" x14ac:dyDescent="0.25">
      <c r="A35" s="13">
        <v>31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2"/>
      <c r="Q35" s="2"/>
      <c r="R35" s="2"/>
      <c r="S35" s="2"/>
      <c r="T35" s="2"/>
    </row>
    <row r="36" spans="1:20" ht="19.5" customHeight="1" x14ac:dyDescent="0.25">
      <c r="A36" s="13">
        <v>32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2"/>
      <c r="Q36" s="2"/>
      <c r="R36" s="2"/>
      <c r="S36" s="2"/>
      <c r="T36" s="2"/>
    </row>
    <row r="37" spans="1:20" ht="19.5" customHeight="1" x14ac:dyDescent="0.25">
      <c r="A37" s="16">
        <v>33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2"/>
      <c r="Q37" s="2"/>
      <c r="R37" s="2"/>
      <c r="S37" s="2"/>
      <c r="T37" s="2"/>
    </row>
    <row r="38" spans="1:20" ht="19.5" customHeight="1" x14ac:dyDescent="0.25">
      <c r="A38" s="13">
        <v>34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"/>
      <c r="Q38" s="2"/>
      <c r="R38" s="2"/>
      <c r="S38" s="2"/>
      <c r="T38" s="2"/>
    </row>
    <row r="39" spans="1:20" ht="19.5" customHeight="1" x14ac:dyDescent="0.25">
      <c r="A39" s="13">
        <v>35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2"/>
      <c r="Q39" s="2"/>
      <c r="R39" s="2"/>
      <c r="S39" s="2"/>
      <c r="T39" s="2"/>
    </row>
    <row r="40" spans="1:20" ht="19.5" customHeight="1" x14ac:dyDescent="0.25">
      <c r="A40" s="16">
        <v>36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2"/>
      <c r="Q40" s="2"/>
      <c r="R40" s="2"/>
      <c r="S40" s="2"/>
      <c r="T40" s="2"/>
    </row>
    <row r="41" spans="1:20" ht="19.5" customHeight="1" x14ac:dyDescent="0.25">
      <c r="A41" s="13">
        <v>37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2"/>
      <c r="Q41" s="2"/>
      <c r="R41" s="2"/>
      <c r="S41" s="2"/>
      <c r="T41" s="2"/>
    </row>
    <row r="42" spans="1:20" ht="19.5" customHeight="1" x14ac:dyDescent="0.25">
      <c r="A42" s="13">
        <v>38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2"/>
      <c r="Q42" s="2"/>
      <c r="R42" s="2"/>
      <c r="S42" s="2"/>
      <c r="T42" s="2"/>
    </row>
    <row r="43" spans="1:20" ht="19.5" customHeight="1" x14ac:dyDescent="0.25">
      <c r="A43" s="16">
        <v>39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"/>
      <c r="Q43" s="2"/>
      <c r="R43" s="2"/>
      <c r="S43" s="2"/>
      <c r="T43" s="2"/>
    </row>
    <row r="44" spans="1:20" ht="19.5" customHeight="1" x14ac:dyDescent="0.25">
      <c r="A44" s="13">
        <v>40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2"/>
      <c r="Q44" s="2"/>
      <c r="R44" s="2"/>
      <c r="S44" s="2"/>
      <c r="T44" s="2"/>
    </row>
    <row r="45" spans="1:20" ht="19.5" customHeight="1" x14ac:dyDescent="0.25">
      <c r="A45" s="13">
        <v>41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2"/>
      <c r="Q45" s="2"/>
      <c r="R45" s="2"/>
      <c r="S45" s="2"/>
      <c r="T45" s="2"/>
    </row>
    <row r="46" spans="1:20" ht="19.5" customHeight="1" x14ac:dyDescent="0.25">
      <c r="A46" s="13">
        <v>42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2"/>
      <c r="Q46" s="2"/>
      <c r="R46" s="2"/>
      <c r="S46" s="2"/>
      <c r="T46" s="2"/>
    </row>
    <row r="47" spans="1:20" ht="19.5" customHeight="1" x14ac:dyDescent="0.25">
      <c r="A47" s="13">
        <v>43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2"/>
      <c r="Q47" s="2"/>
      <c r="R47" s="2"/>
      <c r="S47" s="2"/>
      <c r="T47" s="2"/>
    </row>
    <row r="48" spans="1:20" ht="19.5" customHeight="1" x14ac:dyDescent="0.25">
      <c r="A48" s="16">
        <v>44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2"/>
      <c r="Q48" s="2"/>
      <c r="R48" s="2"/>
      <c r="S48" s="2"/>
      <c r="T48" s="2"/>
    </row>
    <row r="49" spans="1:21" ht="19.5" customHeight="1" x14ac:dyDescent="0.25">
      <c r="A49" s="13">
        <v>45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2"/>
      <c r="Q49" s="2"/>
      <c r="R49" s="2"/>
      <c r="S49" s="2"/>
      <c r="T49" s="2"/>
    </row>
    <row r="50" spans="1:21" ht="19.5" customHeight="1" x14ac:dyDescent="0.25">
      <c r="A50" s="13">
        <v>46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2">
        <f>SUM(P57:P75)</f>
        <v>4272</v>
      </c>
      <c r="Q50" s="2">
        <f t="shared" si="0"/>
        <v>4226</v>
      </c>
      <c r="R50" s="2">
        <f t="shared" ref="R50" si="2">SUM(R57:R75)</f>
        <v>46</v>
      </c>
      <c r="S50" s="2">
        <f t="shared" si="1"/>
        <v>4226</v>
      </c>
      <c r="T50" s="2"/>
    </row>
    <row r="51" spans="1:21" ht="38.450000000000003" customHeight="1" thickBot="1" x14ac:dyDescent="0.3">
      <c r="A51" s="19"/>
      <c r="B51" s="19"/>
      <c r="C51" s="20">
        <f t="shared" ref="C51:P51" si="3">SUM(C5:C50)</f>
        <v>0</v>
      </c>
      <c r="D51" s="20">
        <f t="shared" si="3"/>
        <v>0</v>
      </c>
      <c r="E51" s="20">
        <f t="shared" si="3"/>
        <v>0</v>
      </c>
      <c r="F51" s="20">
        <f t="shared" si="3"/>
        <v>0</v>
      </c>
      <c r="G51" s="20">
        <f t="shared" si="3"/>
        <v>0</v>
      </c>
      <c r="H51" s="20">
        <f t="shared" si="3"/>
        <v>0</v>
      </c>
      <c r="I51" s="20">
        <f t="shared" si="3"/>
        <v>0</v>
      </c>
      <c r="J51" s="20">
        <f t="shared" si="3"/>
        <v>0</v>
      </c>
      <c r="K51" s="20">
        <f t="shared" si="3"/>
        <v>0</v>
      </c>
      <c r="L51" s="20">
        <f t="shared" si="3"/>
        <v>0</v>
      </c>
      <c r="M51" s="20">
        <f t="shared" si="3"/>
        <v>0</v>
      </c>
      <c r="N51" s="20">
        <f t="shared" si="3"/>
        <v>0</v>
      </c>
      <c r="O51" s="20">
        <f t="shared" si="3"/>
        <v>0</v>
      </c>
      <c r="P51" s="2">
        <f t="shared" si="3"/>
        <v>1519650</v>
      </c>
      <c r="Q51" s="2"/>
      <c r="R51" s="2">
        <f>SUM(R5:R50)</f>
        <v>435038</v>
      </c>
      <c r="S51" s="2"/>
      <c r="T51" s="2"/>
      <c r="U51" s="22"/>
    </row>
    <row r="52" spans="1:21" ht="15.75" hidden="1" thickTop="1" x14ac:dyDescent="0.25">
      <c r="C52" s="2">
        <v>14810</v>
      </c>
      <c r="D52" s="2">
        <v>445018</v>
      </c>
      <c r="E52" s="2"/>
      <c r="F52" s="2">
        <v>267045</v>
      </c>
      <c r="G52" s="2">
        <v>90075</v>
      </c>
      <c r="H52" s="2">
        <v>3893</v>
      </c>
      <c r="I52" s="2">
        <v>116461</v>
      </c>
      <c r="J52" s="2"/>
      <c r="K52" s="2">
        <v>166013</v>
      </c>
      <c r="L52" s="2">
        <v>25999</v>
      </c>
      <c r="M52" s="2">
        <v>15887</v>
      </c>
      <c r="N52" s="2"/>
      <c r="O52" s="2"/>
      <c r="P52" s="2">
        <v>1519650</v>
      </c>
      <c r="Q52" s="2"/>
      <c r="R52" s="2">
        <v>435038</v>
      </c>
      <c r="S52" s="2"/>
      <c r="T52" s="2"/>
    </row>
    <row r="53" spans="1:21" ht="15.75" hidden="1" thickTop="1" x14ac:dyDescent="0.25">
      <c r="C53" s="2">
        <f>C52-C51</f>
        <v>14810</v>
      </c>
      <c r="D53" s="2">
        <f t="shared" ref="D53:R53" si="4">D52-D51</f>
        <v>445018</v>
      </c>
      <c r="E53" s="2"/>
      <c r="F53" s="2">
        <f t="shared" si="4"/>
        <v>267045</v>
      </c>
      <c r="G53" s="2">
        <f t="shared" si="4"/>
        <v>90075</v>
      </c>
      <c r="H53" s="2">
        <f t="shared" si="4"/>
        <v>3893</v>
      </c>
      <c r="I53" s="2">
        <f t="shared" si="4"/>
        <v>116461</v>
      </c>
      <c r="J53" s="2"/>
      <c r="K53" s="2">
        <f t="shared" si="4"/>
        <v>166013</v>
      </c>
      <c r="L53" s="2">
        <f t="shared" si="4"/>
        <v>25999</v>
      </c>
      <c r="M53" s="2">
        <f t="shared" si="4"/>
        <v>15887</v>
      </c>
      <c r="N53" s="2"/>
      <c r="O53" s="2"/>
      <c r="P53" s="2">
        <f t="shared" si="4"/>
        <v>0</v>
      </c>
      <c r="Q53" s="2"/>
      <c r="R53" s="2">
        <f t="shared" si="4"/>
        <v>0</v>
      </c>
      <c r="S53" s="2"/>
      <c r="T53" s="2"/>
    </row>
    <row r="54" spans="1:21" ht="15.75" thickTop="1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1" hidden="1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1" hidden="1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1" hidden="1" x14ac:dyDescent="0.25">
      <c r="B57" t="s">
        <v>9</v>
      </c>
      <c r="C57" s="2">
        <v>27</v>
      </c>
      <c r="D57" s="2">
        <v>810</v>
      </c>
      <c r="E57" s="2"/>
      <c r="F57" s="2">
        <v>0</v>
      </c>
      <c r="G57" s="2">
        <v>150</v>
      </c>
      <c r="H57" s="2">
        <v>0</v>
      </c>
      <c r="I57" s="2">
        <v>0</v>
      </c>
      <c r="J57" s="2"/>
      <c r="K57" s="2">
        <v>0</v>
      </c>
      <c r="L57" s="2">
        <v>0</v>
      </c>
      <c r="M57" s="2">
        <v>0</v>
      </c>
      <c r="N57" s="2"/>
      <c r="O57" s="2"/>
      <c r="P57" s="2">
        <v>960</v>
      </c>
      <c r="Q57" s="2"/>
      <c r="R57" s="2">
        <v>0</v>
      </c>
      <c r="S57" s="2"/>
      <c r="T57" s="2"/>
    </row>
    <row r="58" spans="1:21" hidden="1" x14ac:dyDescent="0.25">
      <c r="B58" t="s">
        <v>10</v>
      </c>
      <c r="C58" s="2">
        <v>21</v>
      </c>
      <c r="D58" s="2">
        <v>630</v>
      </c>
      <c r="E58" s="2"/>
      <c r="F58" s="2">
        <v>0</v>
      </c>
      <c r="G58" s="2">
        <v>135</v>
      </c>
      <c r="H58" s="2">
        <v>0</v>
      </c>
      <c r="I58" s="2">
        <v>0</v>
      </c>
      <c r="J58" s="2"/>
      <c r="K58" s="2">
        <v>0</v>
      </c>
      <c r="L58" s="2">
        <v>2</v>
      </c>
      <c r="M58" s="2">
        <v>0</v>
      </c>
      <c r="N58" s="2"/>
      <c r="O58" s="2"/>
      <c r="P58" s="2">
        <v>765</v>
      </c>
      <c r="Q58" s="2"/>
      <c r="R58" s="2">
        <v>0</v>
      </c>
      <c r="S58" s="2"/>
      <c r="T58" s="2"/>
    </row>
    <row r="59" spans="1:21" hidden="1" x14ac:dyDescent="0.25">
      <c r="B59" t="s">
        <v>11</v>
      </c>
      <c r="C59" s="2">
        <v>14</v>
      </c>
      <c r="D59" s="2">
        <v>420</v>
      </c>
      <c r="E59" s="2"/>
      <c r="F59" s="2">
        <v>190</v>
      </c>
      <c r="G59" s="2">
        <v>75</v>
      </c>
      <c r="H59" s="2">
        <v>0</v>
      </c>
      <c r="I59" s="2">
        <v>0</v>
      </c>
      <c r="J59" s="2"/>
      <c r="K59" s="2">
        <v>0</v>
      </c>
      <c r="L59" s="2">
        <v>5</v>
      </c>
      <c r="M59" s="2">
        <v>14</v>
      </c>
      <c r="N59" s="2"/>
      <c r="O59" s="2"/>
      <c r="P59" s="2">
        <v>685</v>
      </c>
      <c r="Q59" s="2"/>
      <c r="R59" s="2">
        <v>0</v>
      </c>
      <c r="S59" s="2"/>
      <c r="T59" s="2"/>
    </row>
    <row r="60" spans="1:21" hidden="1" x14ac:dyDescent="0.25">
      <c r="B60" t="s">
        <v>12</v>
      </c>
      <c r="C60" s="2">
        <v>11</v>
      </c>
      <c r="D60" s="2">
        <v>330</v>
      </c>
      <c r="E60" s="2"/>
      <c r="F60" s="2">
        <v>300</v>
      </c>
      <c r="G60" s="2">
        <v>45</v>
      </c>
      <c r="H60" s="2">
        <v>0</v>
      </c>
      <c r="I60" s="2">
        <v>0</v>
      </c>
      <c r="J60" s="2"/>
      <c r="K60" s="2">
        <v>0</v>
      </c>
      <c r="L60" s="2">
        <v>23</v>
      </c>
      <c r="M60" s="2">
        <v>0</v>
      </c>
      <c r="N60" s="2"/>
      <c r="O60" s="2"/>
      <c r="P60" s="2">
        <v>675</v>
      </c>
      <c r="Q60" s="2"/>
      <c r="R60" s="2">
        <v>0</v>
      </c>
      <c r="S60" s="2"/>
      <c r="T60" s="2"/>
    </row>
    <row r="61" spans="1:21" hidden="1" x14ac:dyDescent="0.25">
      <c r="B61" t="s">
        <v>13</v>
      </c>
      <c r="C61" s="2">
        <v>4</v>
      </c>
      <c r="D61" s="2">
        <v>120</v>
      </c>
      <c r="E61" s="2"/>
      <c r="F61" s="2">
        <v>0</v>
      </c>
      <c r="G61" s="2">
        <v>0</v>
      </c>
      <c r="H61" s="2">
        <v>0</v>
      </c>
      <c r="I61" s="2">
        <v>0</v>
      </c>
      <c r="J61" s="2"/>
      <c r="K61" s="2">
        <v>0</v>
      </c>
      <c r="L61" s="2">
        <v>1</v>
      </c>
      <c r="M61" s="2">
        <v>0</v>
      </c>
      <c r="N61" s="2"/>
      <c r="O61" s="2"/>
      <c r="P61" s="2">
        <v>120</v>
      </c>
      <c r="Q61" s="2"/>
      <c r="R61" s="2">
        <v>0</v>
      </c>
      <c r="S61" s="2"/>
      <c r="T61" s="2"/>
    </row>
    <row r="62" spans="1:21" hidden="1" x14ac:dyDescent="0.25">
      <c r="B62" t="s">
        <v>14</v>
      </c>
      <c r="C62" s="2">
        <v>4</v>
      </c>
      <c r="D62" s="2">
        <v>120</v>
      </c>
      <c r="E62" s="2"/>
      <c r="F62" s="2">
        <v>0</v>
      </c>
      <c r="G62" s="2">
        <v>0</v>
      </c>
      <c r="H62" s="2">
        <v>0</v>
      </c>
      <c r="I62" s="2">
        <v>0</v>
      </c>
      <c r="J62" s="2"/>
      <c r="K62" s="2">
        <v>0</v>
      </c>
      <c r="L62" s="2">
        <v>0</v>
      </c>
      <c r="M62" s="2">
        <v>1</v>
      </c>
      <c r="N62" s="2"/>
      <c r="O62" s="2"/>
      <c r="P62" s="2">
        <v>120</v>
      </c>
      <c r="Q62" s="2"/>
      <c r="R62" s="2">
        <v>0</v>
      </c>
      <c r="S62" s="2"/>
      <c r="T62" s="2"/>
    </row>
    <row r="63" spans="1:21" hidden="1" x14ac:dyDescent="0.25">
      <c r="B63" t="s">
        <v>15</v>
      </c>
      <c r="C63" s="2">
        <v>4</v>
      </c>
      <c r="D63" s="2">
        <v>120</v>
      </c>
      <c r="E63" s="2"/>
      <c r="F63" s="2">
        <v>0</v>
      </c>
      <c r="G63" s="2">
        <v>45</v>
      </c>
      <c r="H63" s="2">
        <v>0</v>
      </c>
      <c r="I63" s="2">
        <v>0</v>
      </c>
      <c r="J63" s="2"/>
      <c r="K63" s="2">
        <v>0</v>
      </c>
      <c r="L63" s="2"/>
      <c r="M63" s="2"/>
      <c r="N63" s="2"/>
      <c r="O63" s="2"/>
      <c r="P63" s="2">
        <v>165</v>
      </c>
      <c r="Q63" s="2"/>
      <c r="R63" s="2">
        <v>0</v>
      </c>
      <c r="S63" s="2"/>
      <c r="T63" s="2"/>
    </row>
    <row r="64" spans="1:21" hidden="1" x14ac:dyDescent="0.25">
      <c r="B64" t="s">
        <v>16</v>
      </c>
      <c r="C64" s="2">
        <v>4</v>
      </c>
      <c r="D64" s="2">
        <v>120</v>
      </c>
      <c r="E64" s="2"/>
      <c r="F64" s="2">
        <v>0</v>
      </c>
      <c r="G64" s="2">
        <v>0</v>
      </c>
      <c r="H64" s="2">
        <v>0</v>
      </c>
      <c r="I64" s="2">
        <v>0</v>
      </c>
      <c r="J64" s="2"/>
      <c r="K64" s="2">
        <v>0</v>
      </c>
      <c r="L64" s="2">
        <v>0</v>
      </c>
      <c r="M64" s="2">
        <v>0</v>
      </c>
      <c r="N64" s="2"/>
      <c r="O64" s="2"/>
      <c r="P64" s="2">
        <v>120</v>
      </c>
      <c r="Q64" s="2"/>
      <c r="R64" s="2">
        <v>0</v>
      </c>
      <c r="S64" s="2"/>
      <c r="T64" s="2"/>
    </row>
    <row r="65" spans="2:20" hidden="1" x14ac:dyDescent="0.25">
      <c r="B65" t="s">
        <v>17</v>
      </c>
      <c r="C65" s="2">
        <v>3</v>
      </c>
      <c r="D65" s="2">
        <v>90</v>
      </c>
      <c r="E65" s="2"/>
      <c r="F65" s="2">
        <v>0</v>
      </c>
      <c r="G65" s="2">
        <v>0</v>
      </c>
      <c r="H65" s="2">
        <v>0</v>
      </c>
      <c r="I65" s="2">
        <v>0</v>
      </c>
      <c r="J65" s="2"/>
      <c r="K65" s="2">
        <v>0</v>
      </c>
      <c r="L65" s="2"/>
      <c r="M65" s="2"/>
      <c r="N65" s="2"/>
      <c r="O65" s="2"/>
      <c r="P65" s="2">
        <v>90</v>
      </c>
      <c r="Q65" s="2"/>
      <c r="R65" s="2">
        <v>0</v>
      </c>
      <c r="S65" s="2"/>
      <c r="T65" s="2"/>
    </row>
    <row r="66" spans="2:20" hidden="1" x14ac:dyDescent="0.25">
      <c r="B66" t="s">
        <v>18</v>
      </c>
      <c r="C66" s="2">
        <v>2</v>
      </c>
      <c r="D66" s="2">
        <v>60</v>
      </c>
      <c r="E66" s="2"/>
      <c r="F66" s="2">
        <v>0</v>
      </c>
      <c r="G66" s="2">
        <v>0</v>
      </c>
      <c r="H66" s="2">
        <v>0</v>
      </c>
      <c r="I66" s="2">
        <v>0</v>
      </c>
      <c r="J66" s="2"/>
      <c r="K66" s="2">
        <v>0</v>
      </c>
      <c r="L66" s="2">
        <v>0</v>
      </c>
      <c r="M66" s="2">
        <v>0</v>
      </c>
      <c r="N66" s="2"/>
      <c r="O66" s="2"/>
      <c r="P66" s="2">
        <v>60</v>
      </c>
      <c r="Q66" s="2"/>
      <c r="R66" s="2">
        <v>0</v>
      </c>
      <c r="S66" s="2"/>
      <c r="T66" s="2"/>
    </row>
    <row r="67" spans="2:20" hidden="1" x14ac:dyDescent="0.25">
      <c r="B67" t="s">
        <v>19</v>
      </c>
      <c r="C67" s="2">
        <v>1</v>
      </c>
      <c r="D67" s="2">
        <v>30</v>
      </c>
      <c r="E67" s="2"/>
      <c r="F67" s="2">
        <v>0</v>
      </c>
      <c r="G67" s="2">
        <v>0</v>
      </c>
      <c r="H67" s="2">
        <v>0</v>
      </c>
      <c r="I67" s="2">
        <v>0</v>
      </c>
      <c r="J67" s="2"/>
      <c r="K67" s="2">
        <v>0</v>
      </c>
      <c r="L67" s="2"/>
      <c r="M67" s="2"/>
      <c r="N67" s="2"/>
      <c r="O67" s="2"/>
      <c r="P67" s="2">
        <v>30</v>
      </c>
      <c r="Q67" s="2"/>
      <c r="R67" s="2">
        <v>0</v>
      </c>
      <c r="S67" s="2"/>
      <c r="T67" s="2"/>
    </row>
    <row r="68" spans="2:20" hidden="1" x14ac:dyDescent="0.25">
      <c r="B68" t="s">
        <v>20</v>
      </c>
      <c r="C68" s="2">
        <v>1</v>
      </c>
      <c r="D68" s="2">
        <v>30</v>
      </c>
      <c r="E68" s="2"/>
      <c r="F68" s="2">
        <v>0</v>
      </c>
      <c r="G68" s="2">
        <v>0</v>
      </c>
      <c r="H68" s="2">
        <v>0</v>
      </c>
      <c r="I68" s="2">
        <v>0</v>
      </c>
      <c r="J68" s="2"/>
      <c r="K68" s="2">
        <v>0</v>
      </c>
      <c r="L68" s="2">
        <v>0</v>
      </c>
      <c r="M68" s="2">
        <v>0</v>
      </c>
      <c r="N68" s="2"/>
      <c r="O68" s="2"/>
      <c r="P68" s="2">
        <v>30</v>
      </c>
      <c r="Q68" s="2"/>
      <c r="R68" s="2">
        <v>0</v>
      </c>
      <c r="S68" s="2"/>
      <c r="T68" s="2"/>
    </row>
    <row r="69" spans="2:20" hidden="1" x14ac:dyDescent="0.25">
      <c r="B69" t="s">
        <v>21</v>
      </c>
      <c r="C69" s="2">
        <v>1</v>
      </c>
      <c r="D69" s="2">
        <v>30</v>
      </c>
      <c r="E69" s="2"/>
      <c r="F69" s="2">
        <v>90</v>
      </c>
      <c r="G69" s="2">
        <v>0</v>
      </c>
      <c r="H69" s="2">
        <v>0</v>
      </c>
      <c r="I69" s="2">
        <v>0</v>
      </c>
      <c r="J69" s="2"/>
      <c r="K69" s="2">
        <v>0</v>
      </c>
      <c r="L69" s="2">
        <v>0</v>
      </c>
      <c r="M69" s="2">
        <v>9</v>
      </c>
      <c r="N69" s="2"/>
      <c r="O69" s="2"/>
      <c r="P69" s="2">
        <v>120</v>
      </c>
      <c r="Q69" s="2"/>
      <c r="R69" s="2">
        <v>0</v>
      </c>
      <c r="S69" s="2"/>
      <c r="T69" s="2"/>
    </row>
    <row r="70" spans="2:20" hidden="1" x14ac:dyDescent="0.25">
      <c r="B70" t="s">
        <v>22</v>
      </c>
      <c r="C70" s="2">
        <v>1</v>
      </c>
      <c r="D70" s="2">
        <v>30</v>
      </c>
      <c r="E70" s="2"/>
      <c r="F70" s="2">
        <v>10</v>
      </c>
      <c r="G70" s="2">
        <v>15</v>
      </c>
      <c r="H70" s="2">
        <v>0</v>
      </c>
      <c r="I70" s="2">
        <v>0</v>
      </c>
      <c r="J70" s="2"/>
      <c r="K70" s="2">
        <v>0</v>
      </c>
      <c r="L70" s="2">
        <v>1</v>
      </c>
      <c r="M70" s="2">
        <v>0</v>
      </c>
      <c r="N70" s="2"/>
      <c r="O70" s="2"/>
      <c r="P70" s="2">
        <v>55</v>
      </c>
      <c r="Q70" s="2"/>
      <c r="R70" s="2">
        <v>0</v>
      </c>
      <c r="S70" s="2"/>
      <c r="T70" s="2"/>
    </row>
    <row r="71" spans="2:20" hidden="1" x14ac:dyDescent="0.25">
      <c r="B71" t="s">
        <v>23</v>
      </c>
      <c r="C71" s="2">
        <v>1</v>
      </c>
      <c r="D71" s="2">
        <v>30</v>
      </c>
      <c r="E71" s="2"/>
      <c r="F71" s="2">
        <v>30</v>
      </c>
      <c r="G71" s="2">
        <v>15</v>
      </c>
      <c r="H71" s="2">
        <v>0</v>
      </c>
      <c r="I71" s="2">
        <v>0</v>
      </c>
      <c r="J71" s="2"/>
      <c r="K71" s="2">
        <v>0</v>
      </c>
      <c r="L71" s="2">
        <v>0</v>
      </c>
      <c r="M71" s="2">
        <v>0</v>
      </c>
      <c r="N71" s="2"/>
      <c r="O71" s="2"/>
      <c r="P71" s="2">
        <v>75</v>
      </c>
      <c r="Q71" s="2"/>
      <c r="R71" s="2">
        <v>0</v>
      </c>
      <c r="S71" s="2"/>
      <c r="T71" s="2"/>
    </row>
    <row r="72" spans="2:20" hidden="1" x14ac:dyDescent="0.25">
      <c r="B72" t="s">
        <v>24</v>
      </c>
      <c r="C72">
        <v>1</v>
      </c>
      <c r="D72">
        <v>30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1</v>
      </c>
      <c r="P72">
        <v>30</v>
      </c>
      <c r="R72">
        <v>0</v>
      </c>
    </row>
    <row r="73" spans="2:20" hidden="1" x14ac:dyDescent="0.25">
      <c r="B73" t="s">
        <v>25</v>
      </c>
      <c r="C73">
        <v>1</v>
      </c>
      <c r="D73">
        <v>30</v>
      </c>
      <c r="F73">
        <v>0</v>
      </c>
      <c r="G73">
        <v>15</v>
      </c>
      <c r="H73">
        <v>0</v>
      </c>
      <c r="I73">
        <v>0</v>
      </c>
      <c r="K73">
        <v>0</v>
      </c>
      <c r="P73">
        <v>45</v>
      </c>
      <c r="R73">
        <v>0</v>
      </c>
    </row>
    <row r="74" spans="2:20" hidden="1" x14ac:dyDescent="0.25">
      <c r="B74" t="s">
        <v>26</v>
      </c>
      <c r="C74">
        <v>1</v>
      </c>
      <c r="D74">
        <v>30</v>
      </c>
      <c r="F74">
        <v>0</v>
      </c>
      <c r="G74">
        <v>0</v>
      </c>
      <c r="H74">
        <v>0</v>
      </c>
      <c r="I74">
        <v>0</v>
      </c>
      <c r="K74">
        <v>0</v>
      </c>
      <c r="P74">
        <v>30</v>
      </c>
      <c r="R74">
        <v>0</v>
      </c>
    </row>
    <row r="75" spans="2:20" hidden="1" x14ac:dyDescent="0.25">
      <c r="B75" t="s">
        <v>27</v>
      </c>
      <c r="C75">
        <v>0</v>
      </c>
      <c r="D75">
        <v>0</v>
      </c>
      <c r="F75">
        <v>0</v>
      </c>
      <c r="G75">
        <v>0</v>
      </c>
      <c r="H75">
        <v>1</v>
      </c>
      <c r="I75">
        <v>30</v>
      </c>
      <c r="K75">
        <v>21</v>
      </c>
      <c r="L75">
        <v>0</v>
      </c>
      <c r="M75">
        <v>3</v>
      </c>
      <c r="P75">
        <v>97</v>
      </c>
      <c r="R75">
        <v>46</v>
      </c>
    </row>
    <row r="76" spans="2:20" hidden="1" x14ac:dyDescent="0.25"/>
  </sheetData>
  <mergeCells count="1">
    <mergeCell ref="A1:O1"/>
  </mergeCells>
  <pageMargins left="0.3" right="0.13" top="0.42" bottom="0.28000000000000003" header="0.16" footer="0.3"/>
  <pageSetup paperSize="9" scale="9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Joy</dc:creator>
  <cp:lastModifiedBy>Sachin Kumar</cp:lastModifiedBy>
  <cp:lastPrinted>2016-10-09T08:17:32Z</cp:lastPrinted>
  <dcterms:created xsi:type="dcterms:W3CDTF">2016-10-08T11:28:40Z</dcterms:created>
  <dcterms:modified xsi:type="dcterms:W3CDTF">2017-01-24T12:38:11Z</dcterms:modified>
</cp:coreProperties>
</file>