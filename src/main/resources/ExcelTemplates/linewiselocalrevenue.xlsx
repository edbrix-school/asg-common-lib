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t.support1\Desktop\"/>
    </mc:Choice>
  </mc:AlternateContent>
  <bookViews>
    <workbookView xWindow="0" yWindow="0" windowWidth="19200" windowHeight="7305"/>
  </bookViews>
  <sheets>
    <sheet name="Summary" sheetId="2" r:id="rId1"/>
  </sheets>
  <definedNames>
    <definedName name="_xlnm.Print_Area" localSheetId="0">Summary!$A$1:$O$51</definedName>
  </definedNames>
  <calcPr calcId="152511"/>
</workbook>
</file>

<file path=xl/calcChain.xml><?xml version="1.0" encoding="utf-8"?>
<calcChain xmlns="http://schemas.openxmlformats.org/spreadsheetml/2006/main">
  <c r="D50" i="2" l="1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H51" i="2" l="1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I50" i="2"/>
  <c r="N50" i="2" s="1"/>
  <c r="O50" i="2" s="1"/>
  <c r="I49" i="2"/>
  <c r="I48" i="2"/>
  <c r="N48" i="2" s="1"/>
  <c r="O48" i="2" s="1"/>
  <c r="I47" i="2"/>
  <c r="N47" i="2" s="1"/>
  <c r="O47" i="2" s="1"/>
  <c r="I46" i="2"/>
  <c r="I45" i="2"/>
  <c r="I44" i="2"/>
  <c r="N44" i="2" s="1"/>
  <c r="O44" i="2" s="1"/>
  <c r="I43" i="2"/>
  <c r="I42" i="2"/>
  <c r="I41" i="2"/>
  <c r="I40" i="2"/>
  <c r="N40" i="2" s="1"/>
  <c r="O40" i="2" s="1"/>
  <c r="I39" i="2"/>
  <c r="N39" i="2" s="1"/>
  <c r="O39" i="2" s="1"/>
  <c r="I38" i="2"/>
  <c r="N38" i="2" s="1"/>
  <c r="O38" i="2" s="1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N15" i="2" s="1"/>
  <c r="O15" i="2" s="1"/>
  <c r="I14" i="2"/>
  <c r="I13" i="2"/>
  <c r="I12" i="2"/>
  <c r="I11" i="2"/>
  <c r="I10" i="2"/>
  <c r="I9" i="2"/>
  <c r="I8" i="2"/>
  <c r="I7" i="2"/>
  <c r="N7" i="2" s="1"/>
  <c r="O7" i="2" s="1"/>
  <c r="I6" i="2"/>
  <c r="I5" i="2"/>
  <c r="F50" i="2"/>
  <c r="F49" i="2"/>
  <c r="N49" i="2" s="1"/>
  <c r="O49" i="2" s="1"/>
  <c r="F48" i="2"/>
  <c r="F47" i="2"/>
  <c r="F46" i="2"/>
  <c r="N46" i="2" s="1"/>
  <c r="O46" i="2" s="1"/>
  <c r="F45" i="2"/>
  <c r="N45" i="2" s="1"/>
  <c r="O45" i="2" s="1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E51" i="2"/>
  <c r="N16" i="2" l="1"/>
  <c r="O16" i="2" s="1"/>
  <c r="N32" i="2"/>
  <c r="O32" i="2" s="1"/>
  <c r="N24" i="2"/>
  <c r="O24" i="2" s="1"/>
  <c r="N33" i="2"/>
  <c r="O33" i="2" s="1"/>
  <c r="N10" i="2"/>
  <c r="O10" i="2" s="1"/>
  <c r="N18" i="2"/>
  <c r="O18" i="2" s="1"/>
  <c r="N34" i="2"/>
  <c r="O34" i="2" s="1"/>
  <c r="N42" i="2"/>
  <c r="O42" i="2" s="1"/>
  <c r="N25" i="2"/>
  <c r="O25" i="2" s="1"/>
  <c r="N41" i="2"/>
  <c r="O41" i="2" s="1"/>
  <c r="N26" i="2"/>
  <c r="O26" i="2" s="1"/>
  <c r="N23" i="2"/>
  <c r="O23" i="2" s="1"/>
  <c r="N31" i="2"/>
  <c r="O31" i="2" s="1"/>
  <c r="N8" i="2"/>
  <c r="O8" i="2" s="1"/>
  <c r="N43" i="2"/>
  <c r="O43" i="2" s="1"/>
  <c r="N9" i="2"/>
  <c r="O9" i="2" s="1"/>
  <c r="N17" i="2"/>
  <c r="O17" i="2" s="1"/>
  <c r="N11" i="2"/>
  <c r="O11" i="2" s="1"/>
  <c r="N19" i="2"/>
  <c r="O19" i="2" s="1"/>
  <c r="N27" i="2"/>
  <c r="O27" i="2" s="1"/>
  <c r="N35" i="2"/>
  <c r="O35" i="2" s="1"/>
  <c r="N12" i="2"/>
  <c r="O12" i="2" s="1"/>
  <c r="N20" i="2"/>
  <c r="O20" i="2" s="1"/>
  <c r="N28" i="2"/>
  <c r="O28" i="2" s="1"/>
  <c r="N36" i="2"/>
  <c r="O36" i="2" s="1"/>
  <c r="N5" i="2"/>
  <c r="O5" i="2" s="1"/>
  <c r="N13" i="2"/>
  <c r="O13" i="2" s="1"/>
  <c r="N21" i="2"/>
  <c r="O21" i="2" s="1"/>
  <c r="N29" i="2"/>
  <c r="O29" i="2" s="1"/>
  <c r="N37" i="2"/>
  <c r="O37" i="2" s="1"/>
  <c r="N6" i="2"/>
  <c r="O6" i="2" s="1"/>
  <c r="N14" i="2"/>
  <c r="O14" i="2" s="1"/>
  <c r="N22" i="2"/>
  <c r="O22" i="2" s="1"/>
  <c r="N30" i="2"/>
  <c r="O30" i="2" s="1"/>
  <c r="F51" i="2"/>
  <c r="F53" i="2" s="1"/>
  <c r="D51" i="2"/>
  <c r="D53" i="2" s="1"/>
  <c r="J51" i="2"/>
  <c r="G51" i="2"/>
  <c r="G53" i="2" s="1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R50" i="2"/>
  <c r="R51" i="2" s="1"/>
  <c r="R53" i="2" s="1"/>
  <c r="P50" i="2"/>
  <c r="P51" i="2" s="1"/>
  <c r="P53" i="2" s="1"/>
  <c r="M51" i="2"/>
  <c r="M53" i="2" s="1"/>
  <c r="L51" i="2"/>
  <c r="L53" i="2" s="1"/>
  <c r="H53" i="2"/>
  <c r="C51" i="2"/>
  <c r="C53" i="2" s="1"/>
  <c r="K51" i="2" l="1"/>
  <c r="K53" i="2" s="1"/>
  <c r="Q50" i="2"/>
  <c r="S17" i="2" l="1"/>
  <c r="S6" i="2"/>
  <c r="S22" i="2"/>
  <c r="S14" i="2"/>
  <c r="S12" i="2"/>
  <c r="S10" i="2"/>
  <c r="S8" i="2"/>
  <c r="S25" i="2"/>
  <c r="S7" i="2"/>
  <c r="S9" i="2"/>
  <c r="S19" i="2"/>
  <c r="S15" i="2"/>
  <c r="S20" i="2"/>
  <c r="S13" i="2"/>
  <c r="S18" i="2"/>
  <c r="S23" i="2"/>
  <c r="S21" i="2"/>
  <c r="S24" i="2"/>
  <c r="S11" i="2"/>
  <c r="S16" i="2"/>
  <c r="I51" i="2"/>
  <c r="I53" i="2" s="1"/>
  <c r="S5" i="2" l="1"/>
  <c r="N51" i="2"/>
  <c r="S50" i="2"/>
  <c r="O51" i="2" l="1"/>
</calcChain>
</file>

<file path=xl/sharedStrings.xml><?xml version="1.0" encoding="utf-8"?>
<sst xmlns="http://schemas.openxmlformats.org/spreadsheetml/2006/main" count="62" uniqueCount="57">
  <si>
    <t>LINE</t>
  </si>
  <si>
    <t>DO_AMOUNT</t>
  </si>
  <si>
    <t>ADP_IMP</t>
  </si>
  <si>
    <t>CRSC</t>
  </si>
  <si>
    <t>FRT_REV</t>
  </si>
  <si>
    <t>ADP_EXP</t>
  </si>
  <si>
    <t>CNTR20</t>
  </si>
  <si>
    <t>CNTR40</t>
  </si>
  <si>
    <t>Total</t>
  </si>
  <si>
    <t>TKING</t>
  </si>
  <si>
    <t>SMI06</t>
  </si>
  <si>
    <t>SIT</t>
  </si>
  <si>
    <t>EAGLE</t>
  </si>
  <si>
    <t>PRI011</t>
  </si>
  <si>
    <t>PAN</t>
  </si>
  <si>
    <t>VICS</t>
  </si>
  <si>
    <t>VANU</t>
  </si>
  <si>
    <t>SHRAF</t>
  </si>
  <si>
    <t>ALM07</t>
  </si>
  <si>
    <t>LAUR</t>
  </si>
  <si>
    <t>KDKS2</t>
  </si>
  <si>
    <t>POL</t>
  </si>
  <si>
    <t>UTTC</t>
  </si>
  <si>
    <t>PRIM01</t>
  </si>
  <si>
    <t>PRI007</t>
  </si>
  <si>
    <t>MARTD</t>
  </si>
  <si>
    <t>HGSC2</t>
  </si>
  <si>
    <t>HDS</t>
  </si>
  <si>
    <t>Sl.</t>
  </si>
  <si>
    <t>Rate - BD</t>
  </si>
  <si>
    <t>D/O_Count</t>
  </si>
  <si>
    <t>BL_COUNT</t>
  </si>
  <si>
    <t>BL_AMT</t>
  </si>
  <si>
    <t>Total Local Revenue</t>
  </si>
  <si>
    <t>Import Boxes</t>
  </si>
  <si>
    <t>Export_Boxes</t>
  </si>
  <si>
    <t>A M O U N T  - B D</t>
  </si>
  <si>
    <t>Monthly  Average</t>
  </si>
  <si>
    <t>65613.82</t>
  </si>
  <si>
    <t>16829.564</t>
  </si>
  <si>
    <t>3893.07</t>
  </si>
  <si>
    <t>3407.69</t>
  </si>
  <si>
    <t>0</t>
  </si>
  <si>
    <t>1431</t>
  </si>
  <si>
    <t>1825.33</t>
  </si>
  <si>
    <t>1113</t>
  </si>
  <si>
    <t>1350.16</t>
  </si>
  <si>
    <t>803</t>
  </si>
  <si>
    <t>424</t>
  </si>
  <si>
    <t>318</t>
  </si>
  <si>
    <t>201</t>
  </si>
  <si>
    <t>106</t>
  </si>
  <si>
    <t>126</t>
  </si>
  <si>
    <t>38</t>
  </si>
  <si>
    <t>63</t>
  </si>
  <si>
    <t>53</t>
  </si>
  <si>
    <t>Linewise Local Revenue-Formula 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</si>
</sst>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0" fontId="0" fillId="0" borderId="0" xfId="0" applyAlignment="1">
      <alignment vertical="center"/>
    </xf>
    <xf numFmtId="164" fontId="0" fillId="0" borderId="0" xfId="1" applyNumberFormat="1" applyFont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right" vertical="center" wrapText="1"/>
    </xf>
    <xf numFmtId="0" fontId="0" fillId="0" borderId="10" xfId="0" applyBorder="1" applyAlignment="1">
      <alignment vertical="center"/>
    </xf>
    <xf numFmtId="0" fontId="16" fillId="33" borderId="10" xfId="0" applyFont="1" applyFill="1" applyBorder="1" applyAlignment="1">
      <alignment horizontal="right" vertical="center"/>
    </xf>
    <xf numFmtId="0" fontId="16" fillId="33" borderId="10" xfId="0" applyFont="1" applyFill="1" applyBorder="1" applyAlignment="1">
      <alignment vertical="center"/>
    </xf>
    <xf numFmtId="0" fontId="0" fillId="0" borderId="12" xfId="0" applyBorder="1" applyAlignment="1">
      <alignment horizontal="center"/>
    </xf>
    <xf numFmtId="0" fontId="0" fillId="0" borderId="12" xfId="0" applyBorder="1"/>
    <xf numFmtId="164" fontId="0" fillId="0" borderId="12" xfId="1" applyNumberFormat="1" applyFont="1" applyBorder="1"/>
    <xf numFmtId="0" fontId="0" fillId="0" borderId="13" xfId="0" applyBorder="1" applyAlignment="1">
      <alignment horizontal="center"/>
    </xf>
    <xf numFmtId="0" fontId="0" fillId="0" borderId="13" xfId="0" applyBorder="1"/>
    <xf numFmtId="164" fontId="0" fillId="0" borderId="13" xfId="1" applyNumberFormat="1" applyFont="1" applyBorder="1"/>
    <xf numFmtId="0" fontId="0" fillId="0" borderId="15" xfId="0" applyBorder="1" applyAlignment="1">
      <alignment horizontal="center"/>
    </xf>
    <xf numFmtId="0" fontId="0" fillId="0" borderId="15" xfId="0" applyBorder="1"/>
    <xf numFmtId="164" fontId="0" fillId="0" borderId="15" xfId="1" applyNumberFormat="1" applyFont="1" applyBorder="1"/>
    <xf numFmtId="0" fontId="19" fillId="0" borderId="14" xfId="0" applyFont="1" applyBorder="1"/>
    <xf numFmtId="164" fontId="19" fillId="0" borderId="14" xfId="1" applyNumberFormat="1" applyFont="1" applyBorder="1"/>
    <xf numFmtId="0" fontId="16" fillId="0" borderId="0" xfId="0" applyFont="1"/>
    <xf numFmtId="43" fontId="0" fillId="0" borderId="0" xfId="0" applyNumberFormat="1"/>
    <xf numFmtId="43" fontId="0" fillId="0" borderId="12" xfId="1" applyNumberFormat="1" applyFont="1" applyBorder="1"/>
    <xf numFmtId="0" fontId="18" fillId="0" borderId="0" xfId="0" applyFont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76"/>
  <sheetViews>
    <sheetView tabSelected="1" workbookViewId="0">
      <pane xSplit="2" ySplit="4" topLeftCell="C41" activePane="bottomRight" state="frozen"/>
      <selection pane="topRight" activeCell="C1" sqref="C1"/>
      <selection pane="bottomLeft" activeCell="A5" sqref="A5"/>
      <selection pane="bottomRight" activeCell="D48" sqref="D48"/>
    </sheetView>
  </sheetViews>
  <sheetFormatPr defaultRowHeight="15" x14ac:dyDescent="0.25"/>
  <cols>
    <col min="1" max="1" width="6.140625" customWidth="1" collapsed="1"/>
    <col min="2" max="2" width="13.140625" customWidth="1" collapsed="1"/>
    <col min="3" max="3" width="11.140625" customWidth="1" collapsed="1"/>
    <col min="4" max="4" width="30.5703125" bestFit="1" customWidth="1" collapsed="1"/>
    <col min="5" max="5" width="12.42578125" customWidth="1" collapsed="1"/>
    <col min="6" max="6" width="11.140625" customWidth="1" collapsed="1"/>
    <col min="7" max="7" width="8.42578125" customWidth="1" collapsed="1"/>
    <col min="8" max="8" width="9.5703125" customWidth="1" collapsed="1"/>
    <col min="9" max="9" width="11.7109375" customWidth="1" collapsed="1"/>
    <col min="10" max="10" width="12.42578125" customWidth="1" collapsed="1"/>
    <col min="11" max="11" width="11.28515625" customWidth="1" collapsed="1"/>
    <col min="12" max="13" width="10.140625" hidden="1" customWidth="1" collapsed="1"/>
    <col min="14" max="14" width="17.42578125" customWidth="1" collapsed="1"/>
    <col min="15" max="15" width="15.7109375" customWidth="1" collapsed="1"/>
    <col min="16" max="16" width="13.42578125" hidden="1" customWidth="1" collapsed="1"/>
    <col min="17" max="17" width="13.140625" hidden="1" customWidth="1" collapsed="1"/>
    <col min="18" max="18" width="11.140625" hidden="1" customWidth="1" collapsed="1"/>
    <col min="19" max="19" width="10.140625" hidden="1" customWidth="1" collapsed="1"/>
    <col min="20" max="20" width="1.85546875" hidden="1" customWidth="1" collapsed="1"/>
    <col min="21" max="21" width="8.7109375" customWidth="1" collapsed="1"/>
    <col min="22" max="22" width="13.42578125" customWidth="1" collapsed="1"/>
  </cols>
  <sheetData>
    <row r="1" spans="1:20" ht="26.25" x14ac:dyDescent="0.4">
      <c r="A1" s="24" t="s">
        <v>56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20" ht="26.45" customHeight="1" x14ac:dyDescent="0.25">
      <c r="K2" s="21" t="s">
        <v>36</v>
      </c>
    </row>
    <row r="3" spans="1:20" s="1" customFormat="1" ht="27" customHeight="1" x14ac:dyDescent="0.25">
      <c r="A3" s="3" t="s">
        <v>28</v>
      </c>
      <c r="B3" s="4" t="s">
        <v>0</v>
      </c>
      <c r="C3" s="5" t="s">
        <v>30</v>
      </c>
      <c r="D3" s="5" t="s">
        <v>1</v>
      </c>
      <c r="E3" s="5" t="s">
        <v>34</v>
      </c>
      <c r="F3" s="5" t="s">
        <v>2</v>
      </c>
      <c r="G3" s="5" t="s">
        <v>3</v>
      </c>
      <c r="H3" s="5" t="s">
        <v>31</v>
      </c>
      <c r="I3" s="5" t="s">
        <v>32</v>
      </c>
      <c r="J3" s="5" t="s">
        <v>35</v>
      </c>
      <c r="K3" s="5" t="s">
        <v>5</v>
      </c>
      <c r="L3" s="5" t="s">
        <v>6</v>
      </c>
      <c r="M3" s="5" t="s">
        <v>7</v>
      </c>
      <c r="N3" s="6" t="s">
        <v>33</v>
      </c>
      <c r="O3" s="6" t="s">
        <v>37</v>
      </c>
      <c r="P3" s="1" t="s">
        <v>8</v>
      </c>
      <c r="R3" s="1" t="s">
        <v>4</v>
      </c>
    </row>
    <row r="4" spans="1:20" s="1" customFormat="1" ht="29.1" customHeight="1" thickBot="1" x14ac:dyDescent="0.3">
      <c r="A4" s="7"/>
      <c r="B4" s="8" t="s">
        <v>29</v>
      </c>
      <c r="C4" s="9"/>
      <c r="D4" s="9">
        <v>30</v>
      </c>
      <c r="E4" s="9"/>
      <c r="F4" s="9">
        <v>10</v>
      </c>
      <c r="G4" s="9">
        <v>15</v>
      </c>
      <c r="H4" s="9"/>
      <c r="I4" s="9">
        <v>30</v>
      </c>
      <c r="J4" s="9"/>
      <c r="K4" s="9">
        <v>7</v>
      </c>
      <c r="L4" s="7"/>
      <c r="M4" s="7"/>
      <c r="N4" s="7"/>
      <c r="O4" s="7">
        <v>12</v>
      </c>
    </row>
    <row r="5" spans="1:20" ht="19.5" customHeight="1" thickBot="1" x14ac:dyDescent="0.3">
      <c r="A5" s="10">
        <v>1</v>
      </c>
      <c r="B5" s="11"/>
      <c r="C5" s="12"/>
      <c r="D5" s="12">
        <f>VALUE(C5)*D$4</f>
        <v>0</v>
      </c>
      <c r="E5" s="12"/>
      <c r="F5" s="12">
        <f>E5*F$4</f>
        <v>0</v>
      </c>
      <c r="G5" s="12"/>
      <c r="H5" s="12"/>
      <c r="I5" s="12">
        <f>H5*I$4</f>
        <v>0</v>
      </c>
      <c r="J5" s="12"/>
      <c r="K5" s="12">
        <f>J5*K$4</f>
        <v>0</v>
      </c>
      <c r="L5" s="12" t="s">
        <v>38</v>
      </c>
      <c r="M5" s="12"/>
      <c r="N5" s="12">
        <f>D5+F5+G5+I5+K5</f>
        <v>0</v>
      </c>
      <c r="O5" s="23">
        <f>N5/O$4</f>
        <v>0</v>
      </c>
      <c r="P5" s="2">
        <v>930676</v>
      </c>
      <c r="Q5" s="2">
        <f>P5-R5</f>
        <v>585157</v>
      </c>
      <c r="R5" s="2">
        <v>345519</v>
      </c>
      <c r="S5" s="2">
        <f>+Q5-N5</f>
        <v>585157</v>
      </c>
      <c r="T5" s="2"/>
    </row>
    <row r="6" spans="1:20" ht="19.5" customHeight="1" thickBot="1" x14ac:dyDescent="0.3">
      <c r="A6" s="13">
        <v>2</v>
      </c>
      <c r="B6" s="14"/>
      <c r="C6" s="15"/>
      <c r="D6" s="12">
        <f t="shared" ref="D6:D50" si="0">VALUE(C6)*D$4</f>
        <v>0</v>
      </c>
      <c r="E6" s="15"/>
      <c r="F6" s="12">
        <f t="shared" ref="F6:F50" si="1">E6*F$4</f>
        <v>0</v>
      </c>
      <c r="G6" s="15"/>
      <c r="H6" s="15"/>
      <c r="I6" s="12">
        <f t="shared" ref="I6:I50" si="2">H6*I$4</f>
        <v>0</v>
      </c>
      <c r="J6" s="15"/>
      <c r="K6" s="12">
        <f t="shared" ref="K6:K50" si="3">J6*K$4</f>
        <v>0</v>
      </c>
      <c r="L6" s="15" t="s">
        <v>39</v>
      </c>
      <c r="M6" s="15"/>
      <c r="N6" s="12">
        <f t="shared" ref="N6:N50" si="4">D6+F6+G6+I6+K6</f>
        <v>0</v>
      </c>
      <c r="O6" s="23">
        <f t="shared" ref="O6:O50" si="5">N6/O$4</f>
        <v>0</v>
      </c>
      <c r="P6" s="2">
        <v>190279</v>
      </c>
      <c r="Q6" s="2">
        <f t="shared" ref="Q6:Q50" si="6">P6-R6</f>
        <v>175681</v>
      </c>
      <c r="R6" s="2">
        <v>14598</v>
      </c>
      <c r="S6" s="2">
        <f t="shared" ref="S6:S50" si="7">+Q6-N6</f>
        <v>175681</v>
      </c>
      <c r="T6" s="2"/>
    </row>
    <row r="7" spans="1:20" ht="19.5" customHeight="1" thickBot="1" x14ac:dyDescent="0.3">
      <c r="A7" s="13">
        <v>3</v>
      </c>
      <c r="B7" s="14"/>
      <c r="C7" s="15"/>
      <c r="D7" s="12">
        <f t="shared" si="0"/>
        <v>0</v>
      </c>
      <c r="E7" s="15"/>
      <c r="F7" s="12">
        <f t="shared" si="1"/>
        <v>0</v>
      </c>
      <c r="G7" s="15"/>
      <c r="H7" s="15"/>
      <c r="I7" s="12">
        <f t="shared" si="2"/>
        <v>0</v>
      </c>
      <c r="J7" s="15"/>
      <c r="K7" s="12">
        <f t="shared" si="3"/>
        <v>0</v>
      </c>
      <c r="L7" s="15" t="s">
        <v>40</v>
      </c>
      <c r="M7" s="15"/>
      <c r="N7" s="12">
        <f t="shared" si="4"/>
        <v>0</v>
      </c>
      <c r="O7" s="23">
        <f t="shared" si="5"/>
        <v>0</v>
      </c>
      <c r="P7" s="2">
        <v>97179</v>
      </c>
      <c r="Q7" s="2">
        <f t="shared" si="6"/>
        <v>82668</v>
      </c>
      <c r="R7" s="2">
        <v>14511</v>
      </c>
      <c r="S7" s="2">
        <f t="shared" si="7"/>
        <v>82668</v>
      </c>
      <c r="T7" s="2"/>
    </row>
    <row r="8" spans="1:20" ht="19.5" customHeight="1" thickBot="1" x14ac:dyDescent="0.3">
      <c r="A8" s="13">
        <v>4</v>
      </c>
      <c r="B8" s="14"/>
      <c r="C8" s="15"/>
      <c r="D8" s="12">
        <f t="shared" si="0"/>
        <v>0</v>
      </c>
      <c r="E8" s="15"/>
      <c r="F8" s="12">
        <f t="shared" si="1"/>
        <v>0</v>
      </c>
      <c r="G8" s="15"/>
      <c r="H8" s="15"/>
      <c r="I8" s="12">
        <f t="shared" si="2"/>
        <v>0</v>
      </c>
      <c r="J8" s="15"/>
      <c r="K8" s="12">
        <f t="shared" si="3"/>
        <v>0</v>
      </c>
      <c r="L8" s="15" t="s">
        <v>41</v>
      </c>
      <c r="M8" s="15"/>
      <c r="N8" s="12">
        <f t="shared" si="4"/>
        <v>0</v>
      </c>
      <c r="O8" s="23">
        <f t="shared" si="5"/>
        <v>0</v>
      </c>
      <c r="P8" s="2">
        <v>50767</v>
      </c>
      <c r="Q8" s="2">
        <f t="shared" si="6"/>
        <v>46740</v>
      </c>
      <c r="R8" s="2">
        <v>4027</v>
      </c>
      <c r="S8" s="2">
        <f t="shared" si="7"/>
        <v>46740</v>
      </c>
      <c r="T8" s="2"/>
    </row>
    <row r="9" spans="1:20" ht="19.5" customHeight="1" thickBot="1" x14ac:dyDescent="0.3">
      <c r="A9" s="13">
        <v>5</v>
      </c>
      <c r="B9" s="14"/>
      <c r="C9" s="15"/>
      <c r="D9" s="12">
        <f t="shared" si="0"/>
        <v>0</v>
      </c>
      <c r="E9" s="15"/>
      <c r="F9" s="12">
        <f t="shared" si="1"/>
        <v>0</v>
      </c>
      <c r="G9" s="15"/>
      <c r="H9" s="15"/>
      <c r="I9" s="12">
        <f t="shared" si="2"/>
        <v>0</v>
      </c>
      <c r="J9" s="15"/>
      <c r="K9" s="12">
        <f t="shared" si="3"/>
        <v>0</v>
      </c>
      <c r="L9" s="15" t="s">
        <v>43</v>
      </c>
      <c r="M9" s="15"/>
      <c r="N9" s="12">
        <f t="shared" si="4"/>
        <v>0</v>
      </c>
      <c r="O9" s="23">
        <f t="shared" si="5"/>
        <v>0</v>
      </c>
      <c r="P9" s="2">
        <v>38612</v>
      </c>
      <c r="Q9" s="2">
        <f t="shared" si="6"/>
        <v>36855</v>
      </c>
      <c r="R9" s="2">
        <v>1757</v>
      </c>
      <c r="S9" s="2">
        <f t="shared" si="7"/>
        <v>36855</v>
      </c>
      <c r="T9" s="2"/>
    </row>
    <row r="10" spans="1:20" ht="19.5" customHeight="1" thickBot="1" x14ac:dyDescent="0.3">
      <c r="A10" s="13">
        <v>6</v>
      </c>
      <c r="B10" s="14"/>
      <c r="C10" s="15"/>
      <c r="D10" s="12">
        <f t="shared" si="0"/>
        <v>0</v>
      </c>
      <c r="E10" s="15"/>
      <c r="F10" s="12">
        <f t="shared" si="1"/>
        <v>0</v>
      </c>
      <c r="G10" s="15"/>
      <c r="H10" s="15"/>
      <c r="I10" s="12">
        <f t="shared" si="2"/>
        <v>0</v>
      </c>
      <c r="J10" s="15"/>
      <c r="K10" s="12">
        <f t="shared" si="3"/>
        <v>0</v>
      </c>
      <c r="L10" s="15" t="s">
        <v>44</v>
      </c>
      <c r="M10" s="15"/>
      <c r="N10" s="12">
        <f t="shared" si="4"/>
        <v>0</v>
      </c>
      <c r="O10" s="23">
        <f t="shared" si="5"/>
        <v>0</v>
      </c>
      <c r="P10" s="2">
        <v>14285</v>
      </c>
      <c r="Q10" s="2">
        <f t="shared" si="6"/>
        <v>14285</v>
      </c>
      <c r="R10" s="2">
        <v>0</v>
      </c>
      <c r="S10" s="2">
        <f t="shared" si="7"/>
        <v>14285</v>
      </c>
      <c r="T10" s="2"/>
    </row>
    <row r="11" spans="1:20" ht="19.5" customHeight="1" thickBot="1" x14ac:dyDescent="0.3">
      <c r="A11" s="13">
        <v>7</v>
      </c>
      <c r="B11" s="14"/>
      <c r="C11" s="15"/>
      <c r="D11" s="12">
        <f t="shared" si="0"/>
        <v>0</v>
      </c>
      <c r="E11" s="15"/>
      <c r="F11" s="12">
        <f t="shared" si="1"/>
        <v>0</v>
      </c>
      <c r="G11" s="15"/>
      <c r="H11" s="15"/>
      <c r="I11" s="12">
        <f t="shared" si="2"/>
        <v>0</v>
      </c>
      <c r="J11" s="15"/>
      <c r="K11" s="12">
        <f t="shared" si="3"/>
        <v>0</v>
      </c>
      <c r="L11" s="15" t="s">
        <v>45</v>
      </c>
      <c r="M11" s="15"/>
      <c r="N11" s="12">
        <f t="shared" si="4"/>
        <v>0</v>
      </c>
      <c r="O11" s="23">
        <f t="shared" si="5"/>
        <v>0</v>
      </c>
      <c r="P11" s="2">
        <v>31789</v>
      </c>
      <c r="Q11" s="2">
        <f t="shared" si="6"/>
        <v>29955</v>
      </c>
      <c r="R11" s="2">
        <v>1834</v>
      </c>
      <c r="S11" s="2">
        <f t="shared" si="7"/>
        <v>29955</v>
      </c>
      <c r="T11" s="2"/>
    </row>
    <row r="12" spans="1:20" ht="19.5" customHeight="1" thickBot="1" x14ac:dyDescent="0.3">
      <c r="A12" s="13">
        <v>8</v>
      </c>
      <c r="B12" s="14"/>
      <c r="C12" s="15"/>
      <c r="D12" s="12">
        <f t="shared" si="0"/>
        <v>0</v>
      </c>
      <c r="E12" s="15"/>
      <c r="F12" s="12">
        <f t="shared" si="1"/>
        <v>0</v>
      </c>
      <c r="G12" s="15"/>
      <c r="H12" s="15"/>
      <c r="I12" s="12">
        <f t="shared" si="2"/>
        <v>0</v>
      </c>
      <c r="J12" s="15"/>
      <c r="K12" s="12">
        <f t="shared" si="3"/>
        <v>0</v>
      </c>
      <c r="L12" s="15" t="s">
        <v>46</v>
      </c>
      <c r="M12" s="15"/>
      <c r="N12" s="12">
        <f t="shared" si="4"/>
        <v>0</v>
      </c>
      <c r="O12" s="23">
        <f t="shared" si="5"/>
        <v>0</v>
      </c>
      <c r="P12" s="2">
        <v>23853</v>
      </c>
      <c r="Q12" s="2">
        <f t="shared" si="6"/>
        <v>22838</v>
      </c>
      <c r="R12" s="2">
        <v>1015</v>
      </c>
      <c r="S12" s="2">
        <f t="shared" si="7"/>
        <v>22838</v>
      </c>
      <c r="T12" s="2"/>
    </row>
    <row r="13" spans="1:20" ht="19.5" customHeight="1" thickBot="1" x14ac:dyDescent="0.3">
      <c r="A13" s="13">
        <v>9</v>
      </c>
      <c r="B13" s="14"/>
      <c r="C13" s="15"/>
      <c r="D13" s="12">
        <f t="shared" si="0"/>
        <v>0</v>
      </c>
      <c r="E13" s="15"/>
      <c r="F13" s="12">
        <f t="shared" si="1"/>
        <v>0</v>
      </c>
      <c r="G13" s="15"/>
      <c r="H13" s="15"/>
      <c r="I13" s="12">
        <f t="shared" si="2"/>
        <v>0</v>
      </c>
      <c r="J13" s="15"/>
      <c r="K13" s="12">
        <f t="shared" si="3"/>
        <v>0</v>
      </c>
      <c r="L13" s="15" t="s">
        <v>47</v>
      </c>
      <c r="M13" s="15"/>
      <c r="N13" s="12">
        <f t="shared" si="4"/>
        <v>0</v>
      </c>
      <c r="O13" s="23">
        <f t="shared" si="5"/>
        <v>0</v>
      </c>
      <c r="P13" s="2">
        <v>20146</v>
      </c>
      <c r="Q13" s="2">
        <f t="shared" si="6"/>
        <v>17721</v>
      </c>
      <c r="R13" s="2">
        <v>2425</v>
      </c>
      <c r="S13" s="2">
        <f t="shared" si="7"/>
        <v>17721</v>
      </c>
      <c r="T13" s="2"/>
    </row>
    <row r="14" spans="1:20" ht="19.5" customHeight="1" thickBot="1" x14ac:dyDescent="0.3">
      <c r="A14" s="13">
        <v>10</v>
      </c>
      <c r="B14" s="14"/>
      <c r="C14" s="15"/>
      <c r="D14" s="12">
        <f t="shared" si="0"/>
        <v>0</v>
      </c>
      <c r="E14" s="15"/>
      <c r="F14" s="12">
        <f t="shared" si="1"/>
        <v>0</v>
      </c>
      <c r="G14" s="15"/>
      <c r="H14" s="15"/>
      <c r="I14" s="12">
        <f t="shared" si="2"/>
        <v>0</v>
      </c>
      <c r="J14" s="15"/>
      <c r="K14" s="12">
        <f t="shared" si="3"/>
        <v>0</v>
      </c>
      <c r="L14" s="15" t="s">
        <v>48</v>
      </c>
      <c r="M14" s="15"/>
      <c r="N14" s="12">
        <f t="shared" si="4"/>
        <v>0</v>
      </c>
      <c r="O14" s="23">
        <f t="shared" si="5"/>
        <v>0</v>
      </c>
      <c r="P14" s="2">
        <v>23661</v>
      </c>
      <c r="Q14" s="2">
        <f t="shared" si="6"/>
        <v>21409</v>
      </c>
      <c r="R14" s="2">
        <v>2252</v>
      </c>
      <c r="S14" s="2">
        <f t="shared" si="7"/>
        <v>21409</v>
      </c>
      <c r="T14" s="2"/>
    </row>
    <row r="15" spans="1:20" ht="19.5" customHeight="1" thickBot="1" x14ac:dyDescent="0.3">
      <c r="A15" s="13">
        <v>11</v>
      </c>
      <c r="B15" s="14"/>
      <c r="C15" s="15"/>
      <c r="D15" s="12">
        <f t="shared" si="0"/>
        <v>0</v>
      </c>
      <c r="E15" s="15"/>
      <c r="F15" s="12">
        <f t="shared" si="1"/>
        <v>0</v>
      </c>
      <c r="G15" s="15"/>
      <c r="H15" s="15"/>
      <c r="I15" s="12">
        <f t="shared" si="2"/>
        <v>0</v>
      </c>
      <c r="J15" s="15"/>
      <c r="K15" s="12">
        <f t="shared" si="3"/>
        <v>0</v>
      </c>
      <c r="L15" s="15" t="s">
        <v>49</v>
      </c>
      <c r="M15" s="15"/>
      <c r="N15" s="12">
        <f t="shared" si="4"/>
        <v>0</v>
      </c>
      <c r="O15" s="23">
        <f t="shared" si="5"/>
        <v>0</v>
      </c>
      <c r="P15" s="2">
        <v>7440</v>
      </c>
      <c r="Q15" s="2">
        <f t="shared" si="6"/>
        <v>6840</v>
      </c>
      <c r="R15" s="2">
        <v>600</v>
      </c>
      <c r="S15" s="2">
        <f t="shared" si="7"/>
        <v>6840</v>
      </c>
      <c r="T15" s="2"/>
    </row>
    <row r="16" spans="1:20" ht="19.5" customHeight="1" thickBot="1" x14ac:dyDescent="0.3">
      <c r="A16" s="13">
        <v>12</v>
      </c>
      <c r="B16" s="14"/>
      <c r="C16" s="15"/>
      <c r="D16" s="12">
        <f t="shared" si="0"/>
        <v>0</v>
      </c>
      <c r="E16" s="15"/>
      <c r="F16" s="12">
        <f t="shared" si="1"/>
        <v>0</v>
      </c>
      <c r="G16" s="15"/>
      <c r="H16" s="15"/>
      <c r="I16" s="12">
        <f t="shared" si="2"/>
        <v>0</v>
      </c>
      <c r="J16" s="15"/>
      <c r="K16" s="12">
        <f t="shared" si="3"/>
        <v>0</v>
      </c>
      <c r="L16" s="15" t="s">
        <v>50</v>
      </c>
      <c r="M16" s="15"/>
      <c r="N16" s="12">
        <f t="shared" si="4"/>
        <v>0</v>
      </c>
      <c r="O16" s="23">
        <f t="shared" si="5"/>
        <v>0</v>
      </c>
      <c r="P16" s="2">
        <v>49139</v>
      </c>
      <c r="Q16" s="2">
        <f t="shared" si="6"/>
        <v>6045</v>
      </c>
      <c r="R16" s="2">
        <v>43094</v>
      </c>
      <c r="S16" s="2">
        <f t="shared" si="7"/>
        <v>6045</v>
      </c>
      <c r="T16" s="2"/>
    </row>
    <row r="17" spans="1:20" ht="19.5" customHeight="1" thickBot="1" x14ac:dyDescent="0.3">
      <c r="A17" s="13">
        <v>13</v>
      </c>
      <c r="B17" s="14"/>
      <c r="C17" s="15"/>
      <c r="D17" s="12">
        <f t="shared" si="0"/>
        <v>0</v>
      </c>
      <c r="E17" s="15"/>
      <c r="F17" s="12">
        <f t="shared" si="1"/>
        <v>0</v>
      </c>
      <c r="G17" s="15"/>
      <c r="H17" s="15"/>
      <c r="I17" s="12">
        <f t="shared" si="2"/>
        <v>0</v>
      </c>
      <c r="J17" s="15"/>
      <c r="K17" s="12">
        <f t="shared" si="3"/>
        <v>0</v>
      </c>
      <c r="L17" s="15" t="s">
        <v>51</v>
      </c>
      <c r="M17" s="15"/>
      <c r="N17" s="12">
        <f t="shared" si="4"/>
        <v>0</v>
      </c>
      <c r="O17" s="23">
        <f t="shared" si="5"/>
        <v>0</v>
      </c>
      <c r="P17" s="2">
        <v>6015</v>
      </c>
      <c r="Q17" s="2">
        <f t="shared" si="6"/>
        <v>6015</v>
      </c>
      <c r="R17" s="2">
        <v>0</v>
      </c>
      <c r="S17" s="2">
        <f t="shared" si="7"/>
        <v>6015</v>
      </c>
      <c r="T17" s="2"/>
    </row>
    <row r="18" spans="1:20" ht="19.5" customHeight="1" thickBot="1" x14ac:dyDescent="0.3">
      <c r="A18" s="13">
        <v>14</v>
      </c>
      <c r="B18" s="14"/>
      <c r="C18" s="15"/>
      <c r="D18" s="12">
        <f t="shared" si="0"/>
        <v>0</v>
      </c>
      <c r="E18" s="15"/>
      <c r="F18" s="12">
        <f t="shared" si="1"/>
        <v>0</v>
      </c>
      <c r="G18" s="15"/>
      <c r="H18" s="15"/>
      <c r="I18" s="12">
        <f t="shared" si="2"/>
        <v>0</v>
      </c>
      <c r="J18" s="15"/>
      <c r="K18" s="12">
        <f t="shared" si="3"/>
        <v>0</v>
      </c>
      <c r="L18" s="15" t="s">
        <v>52</v>
      </c>
      <c r="M18" s="15"/>
      <c r="N18" s="12">
        <f t="shared" si="4"/>
        <v>0</v>
      </c>
      <c r="O18" s="23">
        <f t="shared" si="5"/>
        <v>0</v>
      </c>
      <c r="P18" s="2">
        <v>3613</v>
      </c>
      <c r="Q18" s="2">
        <f t="shared" si="6"/>
        <v>3295</v>
      </c>
      <c r="R18" s="2">
        <v>318</v>
      </c>
      <c r="S18" s="2">
        <f t="shared" si="7"/>
        <v>3295</v>
      </c>
      <c r="T18" s="2"/>
    </row>
    <row r="19" spans="1:20" ht="19.5" customHeight="1" thickBot="1" x14ac:dyDescent="0.3">
      <c r="A19" s="13">
        <v>15</v>
      </c>
      <c r="B19" s="14"/>
      <c r="C19" s="15"/>
      <c r="D19" s="12">
        <f t="shared" si="0"/>
        <v>0</v>
      </c>
      <c r="E19" s="15"/>
      <c r="F19" s="12">
        <f t="shared" si="1"/>
        <v>0</v>
      </c>
      <c r="G19" s="15"/>
      <c r="H19" s="15"/>
      <c r="I19" s="12">
        <f t="shared" si="2"/>
        <v>0</v>
      </c>
      <c r="J19" s="15"/>
      <c r="K19" s="12">
        <f t="shared" si="3"/>
        <v>0</v>
      </c>
      <c r="L19" s="15" t="s">
        <v>54</v>
      </c>
      <c r="M19" s="15"/>
      <c r="N19" s="12">
        <f t="shared" si="4"/>
        <v>0</v>
      </c>
      <c r="O19" s="23">
        <f t="shared" si="5"/>
        <v>0</v>
      </c>
      <c r="P19" s="2">
        <v>3516</v>
      </c>
      <c r="Q19" s="2">
        <f t="shared" si="6"/>
        <v>3370</v>
      </c>
      <c r="R19" s="2">
        <v>146</v>
      </c>
      <c r="S19" s="2">
        <f t="shared" si="7"/>
        <v>3370</v>
      </c>
      <c r="T19" s="2"/>
    </row>
    <row r="20" spans="1:20" ht="19.5" customHeight="1" thickBot="1" x14ac:dyDescent="0.3">
      <c r="A20" s="13">
        <v>16</v>
      </c>
      <c r="B20" s="14"/>
      <c r="C20" s="15"/>
      <c r="D20" s="12">
        <f t="shared" si="0"/>
        <v>0</v>
      </c>
      <c r="E20" s="15"/>
      <c r="F20" s="12">
        <f t="shared" si="1"/>
        <v>0</v>
      </c>
      <c r="G20" s="15"/>
      <c r="H20" s="15"/>
      <c r="I20" s="12">
        <f t="shared" si="2"/>
        <v>0</v>
      </c>
      <c r="J20" s="15"/>
      <c r="K20" s="12">
        <f t="shared" si="3"/>
        <v>0</v>
      </c>
      <c r="L20" s="15" t="s">
        <v>55</v>
      </c>
      <c r="M20" s="15"/>
      <c r="N20" s="12">
        <f t="shared" si="4"/>
        <v>0</v>
      </c>
      <c r="O20" s="23">
        <f t="shared" si="5"/>
        <v>0</v>
      </c>
      <c r="P20" s="2">
        <v>3179</v>
      </c>
      <c r="Q20" s="2">
        <f t="shared" si="6"/>
        <v>3179</v>
      </c>
      <c r="R20" s="2">
        <v>0</v>
      </c>
      <c r="S20" s="2">
        <f t="shared" si="7"/>
        <v>3179</v>
      </c>
      <c r="T20" s="2"/>
    </row>
    <row r="21" spans="1:20" ht="19.5" customHeight="1" thickBot="1" x14ac:dyDescent="0.3">
      <c r="A21" s="13">
        <v>17</v>
      </c>
      <c r="B21" s="14"/>
      <c r="C21" s="15"/>
      <c r="D21" s="12">
        <f t="shared" si="0"/>
        <v>0</v>
      </c>
      <c r="E21" s="15"/>
      <c r="F21" s="12">
        <f t="shared" si="1"/>
        <v>0</v>
      </c>
      <c r="G21" s="15"/>
      <c r="H21" s="15"/>
      <c r="I21" s="12">
        <f t="shared" si="2"/>
        <v>0</v>
      </c>
      <c r="J21" s="15"/>
      <c r="K21" s="12">
        <f t="shared" si="3"/>
        <v>0</v>
      </c>
      <c r="L21" s="15" t="s">
        <v>42</v>
      </c>
      <c r="M21" s="15"/>
      <c r="N21" s="12">
        <f t="shared" si="4"/>
        <v>0</v>
      </c>
      <c r="O21" s="23">
        <f t="shared" si="5"/>
        <v>0</v>
      </c>
      <c r="P21" s="2">
        <v>7004</v>
      </c>
      <c r="Q21" s="2">
        <f t="shared" si="6"/>
        <v>5023</v>
      </c>
      <c r="R21" s="2">
        <v>1981</v>
      </c>
      <c r="S21" s="2">
        <f t="shared" si="7"/>
        <v>5023</v>
      </c>
      <c r="T21" s="2"/>
    </row>
    <row r="22" spans="1:20" ht="19.5" customHeight="1" thickBot="1" x14ac:dyDescent="0.3">
      <c r="A22" s="13">
        <v>18</v>
      </c>
      <c r="B22" s="14"/>
      <c r="C22" s="15"/>
      <c r="D22" s="12">
        <f t="shared" si="0"/>
        <v>0</v>
      </c>
      <c r="E22" s="15"/>
      <c r="F22" s="12">
        <f t="shared" si="1"/>
        <v>0</v>
      </c>
      <c r="G22" s="15"/>
      <c r="H22" s="15"/>
      <c r="I22" s="12">
        <f t="shared" si="2"/>
        <v>0</v>
      </c>
      <c r="J22" s="15"/>
      <c r="K22" s="12">
        <f t="shared" si="3"/>
        <v>0</v>
      </c>
      <c r="L22" s="15" t="s">
        <v>42</v>
      </c>
      <c r="M22" s="15"/>
      <c r="N22" s="12">
        <f t="shared" si="4"/>
        <v>0</v>
      </c>
      <c r="O22" s="23">
        <f t="shared" si="5"/>
        <v>0</v>
      </c>
      <c r="P22" s="2">
        <v>3922</v>
      </c>
      <c r="Q22" s="2">
        <f t="shared" si="6"/>
        <v>3645</v>
      </c>
      <c r="R22" s="2">
        <v>277</v>
      </c>
      <c r="S22" s="2">
        <f t="shared" si="7"/>
        <v>3645</v>
      </c>
      <c r="T22" s="2"/>
    </row>
    <row r="23" spans="1:20" ht="19.5" customHeight="1" thickBot="1" x14ac:dyDescent="0.3">
      <c r="A23" s="13">
        <v>19</v>
      </c>
      <c r="B23" s="14"/>
      <c r="C23" s="15"/>
      <c r="D23" s="12">
        <f t="shared" si="0"/>
        <v>0</v>
      </c>
      <c r="E23" s="15"/>
      <c r="F23" s="12">
        <f t="shared" si="1"/>
        <v>0</v>
      </c>
      <c r="G23" s="15"/>
      <c r="H23" s="15"/>
      <c r="I23" s="12">
        <f t="shared" si="2"/>
        <v>0</v>
      </c>
      <c r="J23" s="15"/>
      <c r="K23" s="12">
        <f t="shared" si="3"/>
        <v>0</v>
      </c>
      <c r="L23" s="15" t="s">
        <v>53</v>
      </c>
      <c r="M23" s="15"/>
      <c r="N23" s="12">
        <f t="shared" si="4"/>
        <v>0</v>
      </c>
      <c r="O23" s="23">
        <f t="shared" si="5"/>
        <v>0</v>
      </c>
      <c r="P23" s="2">
        <v>2535</v>
      </c>
      <c r="Q23" s="2">
        <f t="shared" si="6"/>
        <v>2505</v>
      </c>
      <c r="R23" s="2">
        <v>30</v>
      </c>
      <c r="S23" s="2">
        <f t="shared" si="7"/>
        <v>2505</v>
      </c>
      <c r="T23" s="2"/>
    </row>
    <row r="24" spans="1:20" ht="19.5" customHeight="1" thickBot="1" x14ac:dyDescent="0.3">
      <c r="A24" s="13">
        <v>20</v>
      </c>
      <c r="B24" s="14"/>
      <c r="C24" s="15"/>
      <c r="D24" s="12">
        <f t="shared" si="0"/>
        <v>0</v>
      </c>
      <c r="E24" s="15"/>
      <c r="F24" s="12">
        <f t="shared" si="1"/>
        <v>0</v>
      </c>
      <c r="G24" s="15"/>
      <c r="H24" s="15"/>
      <c r="I24" s="12">
        <f t="shared" si="2"/>
        <v>0</v>
      </c>
      <c r="J24" s="15"/>
      <c r="K24" s="12">
        <f t="shared" si="3"/>
        <v>0</v>
      </c>
      <c r="L24" s="15" t="s">
        <v>55</v>
      </c>
      <c r="M24" s="15"/>
      <c r="N24" s="12">
        <f t="shared" si="4"/>
        <v>0</v>
      </c>
      <c r="O24" s="23">
        <f t="shared" si="5"/>
        <v>0</v>
      </c>
      <c r="P24" s="2">
        <v>3827</v>
      </c>
      <c r="Q24" s="2">
        <f t="shared" si="6"/>
        <v>3513</v>
      </c>
      <c r="R24" s="2">
        <v>314</v>
      </c>
      <c r="S24" s="2">
        <f t="shared" si="7"/>
        <v>3513</v>
      </c>
      <c r="T24" s="2"/>
    </row>
    <row r="25" spans="1:20" ht="19.5" customHeight="1" thickBot="1" x14ac:dyDescent="0.3">
      <c r="A25" s="13">
        <v>21</v>
      </c>
      <c r="B25" s="14"/>
      <c r="C25" s="15"/>
      <c r="D25" s="12">
        <f t="shared" si="0"/>
        <v>0</v>
      </c>
      <c r="E25" s="15"/>
      <c r="F25" s="12">
        <f t="shared" si="1"/>
        <v>0</v>
      </c>
      <c r="G25" s="15"/>
      <c r="H25" s="15"/>
      <c r="I25" s="12">
        <f t="shared" si="2"/>
        <v>0</v>
      </c>
      <c r="J25" s="15"/>
      <c r="K25" s="12">
        <f t="shared" si="3"/>
        <v>0</v>
      </c>
      <c r="L25" s="15" t="s">
        <v>42</v>
      </c>
      <c r="M25" s="15"/>
      <c r="N25" s="12">
        <f t="shared" si="4"/>
        <v>0</v>
      </c>
      <c r="O25" s="23">
        <f t="shared" si="5"/>
        <v>0</v>
      </c>
      <c r="P25" s="2">
        <v>3941</v>
      </c>
      <c r="Q25" s="2">
        <f t="shared" si="6"/>
        <v>3647</v>
      </c>
      <c r="R25" s="2">
        <v>294</v>
      </c>
      <c r="S25" s="2">
        <f t="shared" si="7"/>
        <v>3647</v>
      </c>
      <c r="T25" s="2"/>
    </row>
    <row r="26" spans="1:20" ht="19.5" customHeight="1" thickBot="1" x14ac:dyDescent="0.3">
      <c r="A26" s="16">
        <v>22</v>
      </c>
      <c r="B26" s="17"/>
      <c r="C26" s="18"/>
      <c r="D26" s="12">
        <f t="shared" si="0"/>
        <v>0</v>
      </c>
      <c r="E26" s="18"/>
      <c r="F26" s="12">
        <f t="shared" si="1"/>
        <v>0</v>
      </c>
      <c r="G26" s="18"/>
      <c r="H26" s="18"/>
      <c r="I26" s="12">
        <f t="shared" si="2"/>
        <v>0</v>
      </c>
      <c r="J26" s="18"/>
      <c r="K26" s="12">
        <f t="shared" si="3"/>
        <v>0</v>
      </c>
      <c r="L26" s="18" t="s">
        <v>53</v>
      </c>
      <c r="M26" s="18"/>
      <c r="N26" s="12">
        <f t="shared" si="4"/>
        <v>0</v>
      </c>
      <c r="O26" s="23">
        <f t="shared" si="5"/>
        <v>0</v>
      </c>
      <c r="P26" s="2"/>
      <c r="Q26" s="2"/>
      <c r="R26" s="2"/>
      <c r="S26" s="2"/>
      <c r="T26" s="2"/>
    </row>
    <row r="27" spans="1:20" ht="19.5" customHeight="1" thickBot="1" x14ac:dyDescent="0.3">
      <c r="A27" s="13">
        <v>23</v>
      </c>
      <c r="B27" s="17"/>
      <c r="C27" s="18"/>
      <c r="D27" s="12">
        <f t="shared" si="0"/>
        <v>0</v>
      </c>
      <c r="E27" s="18"/>
      <c r="F27" s="12">
        <f t="shared" si="1"/>
        <v>0</v>
      </c>
      <c r="G27" s="18"/>
      <c r="H27" s="18"/>
      <c r="I27" s="12">
        <f t="shared" si="2"/>
        <v>0</v>
      </c>
      <c r="J27" s="18"/>
      <c r="K27" s="12">
        <f t="shared" si="3"/>
        <v>0</v>
      </c>
      <c r="L27" s="18" t="s">
        <v>42</v>
      </c>
      <c r="M27" s="18"/>
      <c r="N27" s="12">
        <f t="shared" si="4"/>
        <v>0</v>
      </c>
      <c r="O27" s="23">
        <f t="shared" si="5"/>
        <v>0</v>
      </c>
      <c r="P27" s="2"/>
      <c r="Q27" s="2"/>
      <c r="R27" s="2"/>
      <c r="S27" s="2"/>
      <c r="T27" s="2"/>
    </row>
    <row r="28" spans="1:20" ht="19.5" customHeight="1" thickBot="1" x14ac:dyDescent="0.3">
      <c r="A28" s="13">
        <v>24</v>
      </c>
      <c r="B28" s="17"/>
      <c r="C28" s="18"/>
      <c r="D28" s="12">
        <f t="shared" si="0"/>
        <v>0</v>
      </c>
      <c r="E28" s="18"/>
      <c r="F28" s="12">
        <f t="shared" si="1"/>
        <v>0</v>
      </c>
      <c r="G28" s="18"/>
      <c r="H28" s="18"/>
      <c r="I28" s="12">
        <f t="shared" si="2"/>
        <v>0</v>
      </c>
      <c r="J28" s="18"/>
      <c r="K28" s="12">
        <f t="shared" si="3"/>
        <v>0</v>
      </c>
      <c r="L28" s="18"/>
      <c r="M28" s="18"/>
      <c r="N28" s="12">
        <f t="shared" si="4"/>
        <v>0</v>
      </c>
      <c r="O28" s="23">
        <f t="shared" si="5"/>
        <v>0</v>
      </c>
      <c r="P28" s="2"/>
      <c r="Q28" s="2"/>
      <c r="R28" s="2"/>
      <c r="S28" s="2"/>
      <c r="T28" s="2"/>
    </row>
    <row r="29" spans="1:20" ht="19.5" customHeight="1" thickBot="1" x14ac:dyDescent="0.3">
      <c r="A29" s="16">
        <v>25</v>
      </c>
      <c r="B29" s="17"/>
      <c r="C29" s="18"/>
      <c r="D29" s="12">
        <f t="shared" si="0"/>
        <v>0</v>
      </c>
      <c r="E29" s="18"/>
      <c r="F29" s="12">
        <f t="shared" si="1"/>
        <v>0</v>
      </c>
      <c r="G29" s="18"/>
      <c r="H29" s="18"/>
      <c r="I29" s="12">
        <f t="shared" si="2"/>
        <v>0</v>
      </c>
      <c r="J29" s="18"/>
      <c r="K29" s="12">
        <f t="shared" si="3"/>
        <v>0</v>
      </c>
      <c r="L29" s="18"/>
      <c r="M29" s="18"/>
      <c r="N29" s="12">
        <f t="shared" si="4"/>
        <v>0</v>
      </c>
      <c r="O29" s="23">
        <f t="shared" si="5"/>
        <v>0</v>
      </c>
      <c r="P29" s="2"/>
      <c r="Q29" s="2"/>
      <c r="R29" s="2"/>
      <c r="S29" s="2"/>
      <c r="T29" s="2"/>
    </row>
    <row r="30" spans="1:20" ht="19.5" customHeight="1" thickBot="1" x14ac:dyDescent="0.3">
      <c r="A30" s="13">
        <v>26</v>
      </c>
      <c r="B30" s="17"/>
      <c r="C30" s="18"/>
      <c r="D30" s="12">
        <f t="shared" si="0"/>
        <v>0</v>
      </c>
      <c r="E30" s="18"/>
      <c r="F30" s="12">
        <f t="shared" si="1"/>
        <v>0</v>
      </c>
      <c r="G30" s="18"/>
      <c r="H30" s="18"/>
      <c r="I30" s="12">
        <f t="shared" si="2"/>
        <v>0</v>
      </c>
      <c r="J30" s="18"/>
      <c r="K30" s="12">
        <f t="shared" si="3"/>
        <v>0</v>
      </c>
      <c r="L30" s="18"/>
      <c r="M30" s="18"/>
      <c r="N30" s="12">
        <f t="shared" si="4"/>
        <v>0</v>
      </c>
      <c r="O30" s="23">
        <f t="shared" si="5"/>
        <v>0</v>
      </c>
      <c r="P30" s="2"/>
      <c r="Q30" s="2"/>
      <c r="R30" s="2"/>
      <c r="S30" s="2"/>
      <c r="T30" s="2"/>
    </row>
    <row r="31" spans="1:20" ht="19.5" customHeight="1" thickBot="1" x14ac:dyDescent="0.3">
      <c r="A31" s="13">
        <v>27</v>
      </c>
      <c r="B31" s="17"/>
      <c r="C31" s="18"/>
      <c r="D31" s="12">
        <f t="shared" si="0"/>
        <v>0</v>
      </c>
      <c r="E31" s="18"/>
      <c r="F31" s="12">
        <f t="shared" si="1"/>
        <v>0</v>
      </c>
      <c r="G31" s="18"/>
      <c r="H31" s="18"/>
      <c r="I31" s="12">
        <f t="shared" si="2"/>
        <v>0</v>
      </c>
      <c r="J31" s="18"/>
      <c r="K31" s="12">
        <f t="shared" si="3"/>
        <v>0</v>
      </c>
      <c r="L31" s="18"/>
      <c r="M31" s="18"/>
      <c r="N31" s="12">
        <f t="shared" si="4"/>
        <v>0</v>
      </c>
      <c r="O31" s="23">
        <f t="shared" si="5"/>
        <v>0</v>
      </c>
      <c r="P31" s="2"/>
      <c r="Q31" s="2"/>
      <c r="R31" s="2"/>
      <c r="S31" s="2"/>
      <c r="T31" s="2"/>
    </row>
    <row r="32" spans="1:20" ht="19.5" customHeight="1" thickBot="1" x14ac:dyDescent="0.3">
      <c r="A32" s="16">
        <v>28</v>
      </c>
      <c r="B32" s="17"/>
      <c r="C32" s="18"/>
      <c r="D32" s="12">
        <f t="shared" si="0"/>
        <v>0</v>
      </c>
      <c r="E32" s="18"/>
      <c r="F32" s="12">
        <f t="shared" si="1"/>
        <v>0</v>
      </c>
      <c r="G32" s="18"/>
      <c r="H32" s="18"/>
      <c r="I32" s="12">
        <f t="shared" si="2"/>
        <v>0</v>
      </c>
      <c r="J32" s="18"/>
      <c r="K32" s="12">
        <f t="shared" si="3"/>
        <v>0</v>
      </c>
      <c r="L32" s="18"/>
      <c r="M32" s="18"/>
      <c r="N32" s="12">
        <f t="shared" si="4"/>
        <v>0</v>
      </c>
      <c r="O32" s="23">
        <f t="shared" si="5"/>
        <v>0</v>
      </c>
      <c r="P32" s="2"/>
      <c r="Q32" s="2"/>
      <c r="R32" s="2"/>
      <c r="S32" s="2"/>
      <c r="T32" s="2"/>
    </row>
    <row r="33" spans="1:20" ht="19.5" customHeight="1" thickBot="1" x14ac:dyDescent="0.3">
      <c r="A33" s="13">
        <v>29</v>
      </c>
      <c r="B33" s="17"/>
      <c r="C33" s="18"/>
      <c r="D33" s="12">
        <f t="shared" si="0"/>
        <v>0</v>
      </c>
      <c r="E33" s="18"/>
      <c r="F33" s="12">
        <f t="shared" si="1"/>
        <v>0</v>
      </c>
      <c r="G33" s="18"/>
      <c r="H33" s="18"/>
      <c r="I33" s="12">
        <f t="shared" si="2"/>
        <v>0</v>
      </c>
      <c r="J33" s="18"/>
      <c r="K33" s="12">
        <f t="shared" si="3"/>
        <v>0</v>
      </c>
      <c r="L33" s="18"/>
      <c r="M33" s="18"/>
      <c r="N33" s="12">
        <f t="shared" si="4"/>
        <v>0</v>
      </c>
      <c r="O33" s="23">
        <f t="shared" si="5"/>
        <v>0</v>
      </c>
      <c r="P33" s="2"/>
      <c r="Q33" s="2"/>
      <c r="R33" s="2"/>
      <c r="S33" s="2"/>
      <c r="T33" s="2"/>
    </row>
    <row r="34" spans="1:20" ht="19.5" customHeight="1" thickBot="1" x14ac:dyDescent="0.3">
      <c r="A34" s="13">
        <v>30</v>
      </c>
      <c r="B34" s="17"/>
      <c r="C34" s="18"/>
      <c r="D34" s="12">
        <f t="shared" si="0"/>
        <v>0</v>
      </c>
      <c r="E34" s="18"/>
      <c r="F34" s="12">
        <f t="shared" si="1"/>
        <v>0</v>
      </c>
      <c r="G34" s="18"/>
      <c r="H34" s="18"/>
      <c r="I34" s="12">
        <f t="shared" si="2"/>
        <v>0</v>
      </c>
      <c r="J34" s="18"/>
      <c r="K34" s="12">
        <f t="shared" si="3"/>
        <v>0</v>
      </c>
      <c r="L34" s="18"/>
      <c r="M34" s="18"/>
      <c r="N34" s="12">
        <f t="shared" si="4"/>
        <v>0</v>
      </c>
      <c r="O34" s="23">
        <f t="shared" si="5"/>
        <v>0</v>
      </c>
      <c r="P34" s="2"/>
      <c r="Q34" s="2"/>
      <c r="R34" s="2"/>
      <c r="S34" s="2"/>
      <c r="T34" s="2"/>
    </row>
    <row r="35" spans="1:20" ht="19.5" customHeight="1" thickBot="1" x14ac:dyDescent="0.3">
      <c r="A35" s="13">
        <v>31</v>
      </c>
      <c r="B35" s="17"/>
      <c r="C35" s="18"/>
      <c r="D35" s="12">
        <f t="shared" si="0"/>
        <v>0</v>
      </c>
      <c r="E35" s="18"/>
      <c r="F35" s="12">
        <f t="shared" si="1"/>
        <v>0</v>
      </c>
      <c r="G35" s="18"/>
      <c r="H35" s="18"/>
      <c r="I35" s="12">
        <f t="shared" si="2"/>
        <v>0</v>
      </c>
      <c r="J35" s="18"/>
      <c r="K35" s="12">
        <f t="shared" si="3"/>
        <v>0</v>
      </c>
      <c r="L35" s="18"/>
      <c r="M35" s="18"/>
      <c r="N35" s="12">
        <f t="shared" si="4"/>
        <v>0</v>
      </c>
      <c r="O35" s="23">
        <f t="shared" si="5"/>
        <v>0</v>
      </c>
      <c r="P35" s="2"/>
      <c r="Q35" s="2"/>
      <c r="R35" s="2"/>
      <c r="S35" s="2"/>
      <c r="T35" s="2"/>
    </row>
    <row r="36" spans="1:20" ht="19.5" customHeight="1" thickBot="1" x14ac:dyDescent="0.3">
      <c r="A36" s="13">
        <v>32</v>
      </c>
      <c r="B36" s="17"/>
      <c r="C36" s="18"/>
      <c r="D36" s="12">
        <f t="shared" si="0"/>
        <v>0</v>
      </c>
      <c r="E36" s="18"/>
      <c r="F36" s="12">
        <f t="shared" si="1"/>
        <v>0</v>
      </c>
      <c r="G36" s="18"/>
      <c r="H36" s="18"/>
      <c r="I36" s="12">
        <f t="shared" si="2"/>
        <v>0</v>
      </c>
      <c r="J36" s="18"/>
      <c r="K36" s="12">
        <f t="shared" si="3"/>
        <v>0</v>
      </c>
      <c r="L36" s="18"/>
      <c r="M36" s="18"/>
      <c r="N36" s="12">
        <f t="shared" si="4"/>
        <v>0</v>
      </c>
      <c r="O36" s="23">
        <f t="shared" si="5"/>
        <v>0</v>
      </c>
      <c r="P36" s="2"/>
      <c r="Q36" s="2"/>
      <c r="R36" s="2"/>
      <c r="S36" s="2"/>
      <c r="T36" s="2"/>
    </row>
    <row r="37" spans="1:20" ht="19.5" customHeight="1" thickBot="1" x14ac:dyDescent="0.3">
      <c r="A37" s="16">
        <v>33</v>
      </c>
      <c r="B37" s="17"/>
      <c r="C37" s="18"/>
      <c r="D37" s="12">
        <f t="shared" si="0"/>
        <v>0</v>
      </c>
      <c r="E37" s="18"/>
      <c r="F37" s="12">
        <f t="shared" si="1"/>
        <v>0</v>
      </c>
      <c r="G37" s="18"/>
      <c r="H37" s="18"/>
      <c r="I37" s="12">
        <f t="shared" si="2"/>
        <v>0</v>
      </c>
      <c r="J37" s="18"/>
      <c r="K37" s="12">
        <f t="shared" si="3"/>
        <v>0</v>
      </c>
      <c r="L37" s="18"/>
      <c r="M37" s="18"/>
      <c r="N37" s="12">
        <f t="shared" si="4"/>
        <v>0</v>
      </c>
      <c r="O37" s="23">
        <f t="shared" si="5"/>
        <v>0</v>
      </c>
      <c r="P37" s="2"/>
      <c r="Q37" s="2"/>
      <c r="R37" s="2"/>
      <c r="S37" s="2"/>
      <c r="T37" s="2"/>
    </row>
    <row r="38" spans="1:20" ht="19.5" customHeight="1" thickBot="1" x14ac:dyDescent="0.3">
      <c r="A38" s="13">
        <v>34</v>
      </c>
      <c r="B38" s="17"/>
      <c r="C38" s="18"/>
      <c r="D38" s="12">
        <f t="shared" si="0"/>
        <v>0</v>
      </c>
      <c r="E38" s="18"/>
      <c r="F38" s="12">
        <f t="shared" si="1"/>
        <v>0</v>
      </c>
      <c r="G38" s="18"/>
      <c r="H38" s="18"/>
      <c r="I38" s="12">
        <f t="shared" si="2"/>
        <v>0</v>
      </c>
      <c r="J38" s="18"/>
      <c r="K38" s="12">
        <f t="shared" si="3"/>
        <v>0</v>
      </c>
      <c r="L38" s="18"/>
      <c r="M38" s="18"/>
      <c r="N38" s="12">
        <f t="shared" si="4"/>
        <v>0</v>
      </c>
      <c r="O38" s="23">
        <f t="shared" si="5"/>
        <v>0</v>
      </c>
      <c r="P38" s="2"/>
      <c r="Q38" s="2"/>
      <c r="R38" s="2"/>
      <c r="S38" s="2"/>
      <c r="T38" s="2"/>
    </row>
    <row r="39" spans="1:20" ht="19.5" customHeight="1" thickBot="1" x14ac:dyDescent="0.3">
      <c r="A39" s="13">
        <v>35</v>
      </c>
      <c r="B39" s="17"/>
      <c r="C39" s="18"/>
      <c r="D39" s="12">
        <f t="shared" si="0"/>
        <v>0</v>
      </c>
      <c r="E39" s="18"/>
      <c r="F39" s="12">
        <f t="shared" si="1"/>
        <v>0</v>
      </c>
      <c r="G39" s="18"/>
      <c r="H39" s="18"/>
      <c r="I39" s="12">
        <f t="shared" si="2"/>
        <v>0</v>
      </c>
      <c r="J39" s="18"/>
      <c r="K39" s="12">
        <f t="shared" si="3"/>
        <v>0</v>
      </c>
      <c r="L39" s="18"/>
      <c r="M39" s="18"/>
      <c r="N39" s="12">
        <f t="shared" si="4"/>
        <v>0</v>
      </c>
      <c r="O39" s="23">
        <f t="shared" si="5"/>
        <v>0</v>
      </c>
      <c r="P39" s="2"/>
      <c r="Q39" s="2"/>
      <c r="R39" s="2"/>
      <c r="S39" s="2"/>
      <c r="T39" s="2"/>
    </row>
    <row r="40" spans="1:20" ht="19.5" customHeight="1" thickBot="1" x14ac:dyDescent="0.3">
      <c r="A40" s="16">
        <v>36</v>
      </c>
      <c r="B40" s="17"/>
      <c r="C40" s="18"/>
      <c r="D40" s="12">
        <f t="shared" si="0"/>
        <v>0</v>
      </c>
      <c r="E40" s="18"/>
      <c r="F40" s="12">
        <f t="shared" si="1"/>
        <v>0</v>
      </c>
      <c r="G40" s="18"/>
      <c r="H40" s="18"/>
      <c r="I40" s="12">
        <f t="shared" si="2"/>
        <v>0</v>
      </c>
      <c r="J40" s="18"/>
      <c r="K40" s="12">
        <f t="shared" si="3"/>
        <v>0</v>
      </c>
      <c r="L40" s="18"/>
      <c r="M40" s="18"/>
      <c r="N40" s="12">
        <f t="shared" si="4"/>
        <v>0</v>
      </c>
      <c r="O40" s="23">
        <f t="shared" si="5"/>
        <v>0</v>
      </c>
      <c r="P40" s="2"/>
      <c r="Q40" s="2"/>
      <c r="R40" s="2"/>
      <c r="S40" s="2"/>
      <c r="T40" s="2"/>
    </row>
    <row r="41" spans="1:20" ht="19.5" customHeight="1" thickBot="1" x14ac:dyDescent="0.3">
      <c r="A41" s="13">
        <v>37</v>
      </c>
      <c r="B41" s="17"/>
      <c r="C41" s="18"/>
      <c r="D41" s="12">
        <f t="shared" si="0"/>
        <v>0</v>
      </c>
      <c r="E41" s="18"/>
      <c r="F41" s="12">
        <f t="shared" si="1"/>
        <v>0</v>
      </c>
      <c r="G41" s="18"/>
      <c r="H41" s="18"/>
      <c r="I41" s="12">
        <f t="shared" si="2"/>
        <v>0</v>
      </c>
      <c r="J41" s="18"/>
      <c r="K41" s="12">
        <f t="shared" si="3"/>
        <v>0</v>
      </c>
      <c r="L41" s="18"/>
      <c r="M41" s="18"/>
      <c r="N41" s="12">
        <f t="shared" si="4"/>
        <v>0</v>
      </c>
      <c r="O41" s="23">
        <f t="shared" si="5"/>
        <v>0</v>
      </c>
      <c r="P41" s="2"/>
      <c r="Q41" s="2"/>
      <c r="R41" s="2"/>
      <c r="S41" s="2"/>
      <c r="T41" s="2"/>
    </row>
    <row r="42" spans="1:20" ht="19.5" customHeight="1" thickBot="1" x14ac:dyDescent="0.3">
      <c r="A42" s="13">
        <v>38</v>
      </c>
      <c r="B42" s="17"/>
      <c r="C42" s="18"/>
      <c r="D42" s="12">
        <f t="shared" si="0"/>
        <v>0</v>
      </c>
      <c r="E42" s="18"/>
      <c r="F42" s="12">
        <f t="shared" si="1"/>
        <v>0</v>
      </c>
      <c r="G42" s="18"/>
      <c r="H42" s="18"/>
      <c r="I42" s="12">
        <f t="shared" si="2"/>
        <v>0</v>
      </c>
      <c r="J42" s="18"/>
      <c r="K42" s="12">
        <f t="shared" si="3"/>
        <v>0</v>
      </c>
      <c r="L42" s="18"/>
      <c r="M42" s="18"/>
      <c r="N42" s="12">
        <f t="shared" si="4"/>
        <v>0</v>
      </c>
      <c r="O42" s="23">
        <f t="shared" si="5"/>
        <v>0</v>
      </c>
      <c r="P42" s="2"/>
      <c r="Q42" s="2"/>
      <c r="R42" s="2"/>
      <c r="S42" s="2"/>
      <c r="T42" s="2"/>
    </row>
    <row r="43" spans="1:20" ht="19.5" customHeight="1" thickBot="1" x14ac:dyDescent="0.3">
      <c r="A43" s="16">
        <v>39</v>
      </c>
      <c r="B43" s="17"/>
      <c r="C43" s="18"/>
      <c r="D43" s="12">
        <f t="shared" si="0"/>
        <v>0</v>
      </c>
      <c r="E43" s="18"/>
      <c r="F43" s="12">
        <f t="shared" si="1"/>
        <v>0</v>
      </c>
      <c r="G43" s="18"/>
      <c r="H43" s="18"/>
      <c r="I43" s="12">
        <f t="shared" si="2"/>
        <v>0</v>
      </c>
      <c r="J43" s="18"/>
      <c r="K43" s="12">
        <f t="shared" si="3"/>
        <v>0</v>
      </c>
      <c r="L43" s="18"/>
      <c r="M43" s="18"/>
      <c r="N43" s="12">
        <f t="shared" si="4"/>
        <v>0</v>
      </c>
      <c r="O43" s="23">
        <f t="shared" si="5"/>
        <v>0</v>
      </c>
      <c r="P43" s="2"/>
      <c r="Q43" s="2"/>
      <c r="R43" s="2"/>
      <c r="S43" s="2"/>
      <c r="T43" s="2"/>
    </row>
    <row r="44" spans="1:20" ht="19.5" customHeight="1" thickBot="1" x14ac:dyDescent="0.3">
      <c r="A44" s="13">
        <v>40</v>
      </c>
      <c r="B44" s="17"/>
      <c r="C44" s="18"/>
      <c r="D44" s="12">
        <f t="shared" si="0"/>
        <v>0</v>
      </c>
      <c r="E44" s="18"/>
      <c r="F44" s="12">
        <f t="shared" si="1"/>
        <v>0</v>
      </c>
      <c r="G44" s="18"/>
      <c r="H44" s="18"/>
      <c r="I44" s="12">
        <f t="shared" si="2"/>
        <v>0</v>
      </c>
      <c r="J44" s="18"/>
      <c r="K44" s="12">
        <f t="shared" si="3"/>
        <v>0</v>
      </c>
      <c r="L44" s="18"/>
      <c r="M44" s="18"/>
      <c r="N44" s="12">
        <f t="shared" si="4"/>
        <v>0</v>
      </c>
      <c r="O44" s="23">
        <f t="shared" si="5"/>
        <v>0</v>
      </c>
      <c r="P44" s="2"/>
      <c r="Q44" s="2"/>
      <c r="R44" s="2"/>
      <c r="S44" s="2"/>
      <c r="T44" s="2"/>
    </row>
    <row r="45" spans="1:20" ht="19.5" customHeight="1" thickBot="1" x14ac:dyDescent="0.3">
      <c r="A45" s="13">
        <v>41</v>
      </c>
      <c r="B45" s="17"/>
      <c r="C45" s="18"/>
      <c r="D45" s="12">
        <f t="shared" si="0"/>
        <v>0</v>
      </c>
      <c r="E45" s="18"/>
      <c r="F45" s="12">
        <f t="shared" si="1"/>
        <v>0</v>
      </c>
      <c r="G45" s="18"/>
      <c r="H45" s="18"/>
      <c r="I45" s="12">
        <f t="shared" si="2"/>
        <v>0</v>
      </c>
      <c r="J45" s="18"/>
      <c r="K45" s="12">
        <f t="shared" si="3"/>
        <v>0</v>
      </c>
      <c r="L45" s="18"/>
      <c r="M45" s="18"/>
      <c r="N45" s="12">
        <f t="shared" si="4"/>
        <v>0</v>
      </c>
      <c r="O45" s="23">
        <f t="shared" si="5"/>
        <v>0</v>
      </c>
      <c r="P45" s="2"/>
      <c r="Q45" s="2"/>
      <c r="R45" s="2"/>
      <c r="S45" s="2"/>
      <c r="T45" s="2"/>
    </row>
    <row r="46" spans="1:20" ht="19.5" customHeight="1" thickBot="1" x14ac:dyDescent="0.3">
      <c r="A46" s="13">
        <v>42</v>
      </c>
      <c r="B46" s="17"/>
      <c r="C46" s="18"/>
      <c r="D46" s="12">
        <f t="shared" si="0"/>
        <v>0</v>
      </c>
      <c r="E46" s="18"/>
      <c r="F46" s="12">
        <f t="shared" si="1"/>
        <v>0</v>
      </c>
      <c r="G46" s="18"/>
      <c r="H46" s="18"/>
      <c r="I46" s="12">
        <f t="shared" si="2"/>
        <v>0</v>
      </c>
      <c r="J46" s="18"/>
      <c r="K46" s="12">
        <f t="shared" si="3"/>
        <v>0</v>
      </c>
      <c r="L46" s="18"/>
      <c r="M46" s="18"/>
      <c r="N46" s="12">
        <f t="shared" si="4"/>
        <v>0</v>
      </c>
      <c r="O46" s="23">
        <f t="shared" si="5"/>
        <v>0</v>
      </c>
      <c r="P46" s="2"/>
      <c r="Q46" s="2"/>
      <c r="R46" s="2"/>
      <c r="S46" s="2"/>
      <c r="T46" s="2"/>
    </row>
    <row r="47" spans="1:20" ht="19.5" customHeight="1" thickBot="1" x14ac:dyDescent="0.3">
      <c r="A47" s="13">
        <v>43</v>
      </c>
      <c r="B47" s="17"/>
      <c r="C47" s="18"/>
      <c r="D47" s="12">
        <f t="shared" si="0"/>
        <v>0</v>
      </c>
      <c r="E47" s="18"/>
      <c r="F47" s="12">
        <f t="shared" si="1"/>
        <v>0</v>
      </c>
      <c r="G47" s="18"/>
      <c r="H47" s="18"/>
      <c r="I47" s="12">
        <f t="shared" si="2"/>
        <v>0</v>
      </c>
      <c r="J47" s="18"/>
      <c r="K47" s="12">
        <f t="shared" si="3"/>
        <v>0</v>
      </c>
      <c r="L47" s="18"/>
      <c r="M47" s="18"/>
      <c r="N47" s="12">
        <f t="shared" si="4"/>
        <v>0</v>
      </c>
      <c r="O47" s="23">
        <f t="shared" si="5"/>
        <v>0</v>
      </c>
      <c r="P47" s="2"/>
      <c r="Q47" s="2"/>
      <c r="R47" s="2"/>
      <c r="S47" s="2"/>
      <c r="T47" s="2"/>
    </row>
    <row r="48" spans="1:20" ht="19.5" customHeight="1" thickBot="1" x14ac:dyDescent="0.3">
      <c r="A48" s="16">
        <v>44</v>
      </c>
      <c r="B48" s="17"/>
      <c r="C48" s="18"/>
      <c r="D48" s="12">
        <f t="shared" si="0"/>
        <v>0</v>
      </c>
      <c r="E48" s="18"/>
      <c r="F48" s="12">
        <f t="shared" si="1"/>
        <v>0</v>
      </c>
      <c r="G48" s="18"/>
      <c r="H48" s="18"/>
      <c r="I48" s="12">
        <f t="shared" si="2"/>
        <v>0</v>
      </c>
      <c r="J48" s="18"/>
      <c r="K48" s="12">
        <f t="shared" si="3"/>
        <v>0</v>
      </c>
      <c r="L48" s="18"/>
      <c r="M48" s="18"/>
      <c r="N48" s="12">
        <f t="shared" si="4"/>
        <v>0</v>
      </c>
      <c r="O48" s="23">
        <f t="shared" si="5"/>
        <v>0</v>
      </c>
      <c r="P48" s="2"/>
      <c r="Q48" s="2"/>
      <c r="R48" s="2"/>
      <c r="S48" s="2"/>
      <c r="T48" s="2"/>
    </row>
    <row r="49" spans="1:21" ht="19.5" customHeight="1" thickBot="1" x14ac:dyDescent="0.3">
      <c r="A49" s="13">
        <v>45</v>
      </c>
      <c r="B49" s="17"/>
      <c r="C49" s="18"/>
      <c r="D49" s="12">
        <f t="shared" si="0"/>
        <v>0</v>
      </c>
      <c r="E49" s="18"/>
      <c r="F49" s="12">
        <f t="shared" si="1"/>
        <v>0</v>
      </c>
      <c r="G49" s="18"/>
      <c r="H49" s="18"/>
      <c r="I49" s="12">
        <f t="shared" si="2"/>
        <v>0</v>
      </c>
      <c r="J49" s="18"/>
      <c r="K49" s="12">
        <f t="shared" si="3"/>
        <v>0</v>
      </c>
      <c r="L49" s="18"/>
      <c r="M49" s="18"/>
      <c r="N49" s="12">
        <f t="shared" si="4"/>
        <v>0</v>
      </c>
      <c r="O49" s="23">
        <f t="shared" si="5"/>
        <v>0</v>
      </c>
      <c r="P49" s="2"/>
      <c r="Q49" s="2"/>
      <c r="R49" s="2"/>
      <c r="S49" s="2"/>
      <c r="T49" s="2"/>
    </row>
    <row r="50" spans="1:21" ht="19.5" customHeight="1" x14ac:dyDescent="0.25">
      <c r="A50" s="13">
        <v>46</v>
      </c>
      <c r="B50" s="17"/>
      <c r="C50" s="18"/>
      <c r="D50" s="12">
        <f t="shared" si="0"/>
        <v>0</v>
      </c>
      <c r="E50" s="18"/>
      <c r="F50" s="12">
        <f t="shared" si="1"/>
        <v>0</v>
      </c>
      <c r="G50" s="18"/>
      <c r="H50" s="18"/>
      <c r="I50" s="12">
        <f t="shared" si="2"/>
        <v>0</v>
      </c>
      <c r="J50" s="18"/>
      <c r="K50" s="12">
        <f t="shared" si="3"/>
        <v>0</v>
      </c>
      <c r="L50" s="18"/>
      <c r="M50" s="18"/>
      <c r="N50" s="12">
        <f t="shared" si="4"/>
        <v>0</v>
      </c>
      <c r="O50" s="23">
        <f t="shared" si="5"/>
        <v>0</v>
      </c>
      <c r="P50" s="2">
        <f>SUM(P57:P75)</f>
        <v>4272</v>
      </c>
      <c r="Q50" s="2">
        <f t="shared" si="6"/>
        <v>4226</v>
      </c>
      <c r="R50" s="2">
        <f t="shared" ref="R50" si="8">SUM(R57:R75)</f>
        <v>46</v>
      </c>
      <c r="S50" s="2">
        <f t="shared" si="7"/>
        <v>4226</v>
      </c>
      <c r="T50" s="2"/>
    </row>
    <row r="51" spans="1:21" ht="38.450000000000003" customHeight="1" thickBot="1" x14ac:dyDescent="0.3">
      <c r="A51" s="19"/>
      <c r="B51" s="19"/>
      <c r="C51" s="20">
        <f t="shared" ref="C51:P51" si="9">SUM(C5:C50)</f>
        <v>0</v>
      </c>
      <c r="D51" s="20">
        <f t="shared" si="9"/>
        <v>0</v>
      </c>
      <c r="E51" s="20">
        <f t="shared" si="9"/>
        <v>0</v>
      </c>
      <c r="F51" s="20">
        <f t="shared" si="9"/>
        <v>0</v>
      </c>
      <c r="G51" s="20">
        <f t="shared" si="9"/>
        <v>0</v>
      </c>
      <c r="H51" s="20">
        <f t="shared" si="9"/>
        <v>0</v>
      </c>
      <c r="I51" s="20">
        <f t="shared" si="9"/>
        <v>0</v>
      </c>
      <c r="J51" s="20">
        <f t="shared" si="9"/>
        <v>0</v>
      </c>
      <c r="K51" s="20">
        <f t="shared" si="9"/>
        <v>0</v>
      </c>
      <c r="L51" s="20">
        <f t="shared" si="9"/>
        <v>0</v>
      </c>
      <c r="M51" s="20">
        <f t="shared" si="9"/>
        <v>0</v>
      </c>
      <c r="N51" s="20">
        <f t="shared" si="9"/>
        <v>0</v>
      </c>
      <c r="O51" s="20">
        <f t="shared" si="9"/>
        <v>0</v>
      </c>
      <c r="P51" s="2">
        <f t="shared" si="9"/>
        <v>1519650</v>
      </c>
      <c r="Q51" s="2"/>
      <c r="R51" s="2">
        <f>SUM(R5:R50)</f>
        <v>435038</v>
      </c>
      <c r="S51" s="2"/>
      <c r="T51" s="2"/>
      <c r="U51" s="22"/>
    </row>
    <row r="52" spans="1:21" ht="15.75" hidden="1" thickTop="1" x14ac:dyDescent="0.25">
      <c r="C52" s="2">
        <v>14810</v>
      </c>
      <c r="D52" s="2">
        <v>445018</v>
      </c>
      <c r="E52" s="2"/>
      <c r="F52" s="2">
        <v>267045</v>
      </c>
      <c r="G52" s="2">
        <v>90075</v>
      </c>
      <c r="H52" s="2">
        <v>3893</v>
      </c>
      <c r="I52" s="2">
        <v>116461</v>
      </c>
      <c r="J52" s="2"/>
      <c r="K52" s="2">
        <v>166013</v>
      </c>
      <c r="L52" s="2">
        <v>25999</v>
      </c>
      <c r="M52" s="2">
        <v>15887</v>
      </c>
      <c r="N52" s="2"/>
      <c r="O52" s="2"/>
      <c r="P52" s="2">
        <v>1519650</v>
      </c>
      <c r="Q52" s="2"/>
      <c r="R52" s="2">
        <v>435038</v>
      </c>
      <c r="S52" s="2"/>
      <c r="T52" s="2"/>
    </row>
    <row r="53" spans="1:21" ht="15.75" hidden="1" thickTop="1" x14ac:dyDescent="0.25">
      <c r="C53" s="2">
        <f>C52-C51</f>
        <v>14810</v>
      </c>
      <c r="D53" s="2">
        <f t="shared" ref="D53:R53" si="10">D52-D51</f>
        <v>445018</v>
      </c>
      <c r="E53" s="2"/>
      <c r="F53" s="2">
        <f t="shared" si="10"/>
        <v>267045</v>
      </c>
      <c r="G53" s="2">
        <f t="shared" si="10"/>
        <v>90075</v>
      </c>
      <c r="H53" s="2">
        <f t="shared" si="10"/>
        <v>3893</v>
      </c>
      <c r="I53" s="2">
        <f t="shared" si="10"/>
        <v>116461</v>
      </c>
      <c r="J53" s="2"/>
      <c r="K53" s="2">
        <f t="shared" si="10"/>
        <v>166013</v>
      </c>
      <c r="L53" s="2">
        <f t="shared" si="10"/>
        <v>25999</v>
      </c>
      <c r="M53" s="2">
        <f t="shared" si="10"/>
        <v>15887</v>
      </c>
      <c r="N53" s="2"/>
      <c r="O53" s="2"/>
      <c r="P53" s="2">
        <f t="shared" si="10"/>
        <v>0</v>
      </c>
      <c r="Q53" s="2"/>
      <c r="R53" s="2">
        <f t="shared" si="10"/>
        <v>0</v>
      </c>
      <c r="S53" s="2"/>
      <c r="T53" s="2"/>
    </row>
    <row r="54" spans="1:21" ht="15.75" thickTop="1" x14ac:dyDescent="0.2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1" hidden="1" x14ac:dyDescent="0.25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1" hidden="1" x14ac:dyDescent="0.25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1" hidden="1" x14ac:dyDescent="0.25">
      <c r="B57" t="s">
        <v>9</v>
      </c>
      <c r="C57" s="2">
        <v>27</v>
      </c>
      <c r="D57" s="2">
        <v>810</v>
      </c>
      <c r="E57" s="2"/>
      <c r="F57" s="2">
        <v>0</v>
      </c>
      <c r="G57" s="2">
        <v>150</v>
      </c>
      <c r="H57" s="2">
        <v>0</v>
      </c>
      <c r="I57" s="2">
        <v>0</v>
      </c>
      <c r="J57" s="2"/>
      <c r="K57" s="2">
        <v>0</v>
      </c>
      <c r="L57" s="2">
        <v>0</v>
      </c>
      <c r="M57" s="2">
        <v>0</v>
      </c>
      <c r="N57" s="2"/>
      <c r="O57" s="2"/>
      <c r="P57" s="2">
        <v>960</v>
      </c>
      <c r="Q57" s="2"/>
      <c r="R57" s="2">
        <v>0</v>
      </c>
      <c r="S57" s="2"/>
      <c r="T57" s="2"/>
    </row>
    <row r="58" spans="1:21" hidden="1" x14ac:dyDescent="0.25">
      <c r="B58" t="s">
        <v>10</v>
      </c>
      <c r="C58" s="2">
        <v>21</v>
      </c>
      <c r="D58" s="2">
        <v>630</v>
      </c>
      <c r="E58" s="2"/>
      <c r="F58" s="2">
        <v>0</v>
      </c>
      <c r="G58" s="2">
        <v>135</v>
      </c>
      <c r="H58" s="2">
        <v>0</v>
      </c>
      <c r="I58" s="2">
        <v>0</v>
      </c>
      <c r="J58" s="2"/>
      <c r="K58" s="2">
        <v>0</v>
      </c>
      <c r="L58" s="2">
        <v>2</v>
      </c>
      <c r="M58" s="2">
        <v>0</v>
      </c>
      <c r="N58" s="2"/>
      <c r="O58" s="2"/>
      <c r="P58" s="2">
        <v>765</v>
      </c>
      <c r="Q58" s="2"/>
      <c r="R58" s="2">
        <v>0</v>
      </c>
      <c r="S58" s="2"/>
      <c r="T58" s="2"/>
    </row>
    <row r="59" spans="1:21" hidden="1" x14ac:dyDescent="0.25">
      <c r="B59" t="s">
        <v>11</v>
      </c>
      <c r="C59" s="2">
        <v>14</v>
      </c>
      <c r="D59" s="2">
        <v>420</v>
      </c>
      <c r="E59" s="2"/>
      <c r="F59" s="2">
        <v>190</v>
      </c>
      <c r="G59" s="2">
        <v>75</v>
      </c>
      <c r="H59" s="2">
        <v>0</v>
      </c>
      <c r="I59" s="2">
        <v>0</v>
      </c>
      <c r="J59" s="2"/>
      <c r="K59" s="2">
        <v>0</v>
      </c>
      <c r="L59" s="2">
        <v>5</v>
      </c>
      <c r="M59" s="2">
        <v>14</v>
      </c>
      <c r="N59" s="2"/>
      <c r="O59" s="2"/>
      <c r="P59" s="2">
        <v>685</v>
      </c>
      <c r="Q59" s="2"/>
      <c r="R59" s="2">
        <v>0</v>
      </c>
      <c r="S59" s="2"/>
      <c r="T59" s="2"/>
    </row>
    <row r="60" spans="1:21" hidden="1" x14ac:dyDescent="0.25">
      <c r="B60" t="s">
        <v>12</v>
      </c>
      <c r="C60" s="2">
        <v>11</v>
      </c>
      <c r="D60" s="2">
        <v>330</v>
      </c>
      <c r="E60" s="2"/>
      <c r="F60" s="2">
        <v>300</v>
      </c>
      <c r="G60" s="2">
        <v>45</v>
      </c>
      <c r="H60" s="2">
        <v>0</v>
      </c>
      <c r="I60" s="2">
        <v>0</v>
      </c>
      <c r="J60" s="2"/>
      <c r="K60" s="2">
        <v>0</v>
      </c>
      <c r="L60" s="2">
        <v>23</v>
      </c>
      <c r="M60" s="2">
        <v>0</v>
      </c>
      <c r="N60" s="2"/>
      <c r="O60" s="2"/>
      <c r="P60" s="2">
        <v>675</v>
      </c>
      <c r="Q60" s="2"/>
      <c r="R60" s="2">
        <v>0</v>
      </c>
      <c r="S60" s="2"/>
      <c r="T60" s="2"/>
    </row>
    <row r="61" spans="1:21" hidden="1" x14ac:dyDescent="0.25">
      <c r="B61" t="s">
        <v>13</v>
      </c>
      <c r="C61" s="2">
        <v>4</v>
      </c>
      <c r="D61" s="2">
        <v>120</v>
      </c>
      <c r="E61" s="2"/>
      <c r="F61" s="2">
        <v>0</v>
      </c>
      <c r="G61" s="2">
        <v>0</v>
      </c>
      <c r="H61" s="2">
        <v>0</v>
      </c>
      <c r="I61" s="2">
        <v>0</v>
      </c>
      <c r="J61" s="2"/>
      <c r="K61" s="2">
        <v>0</v>
      </c>
      <c r="L61" s="2">
        <v>1</v>
      </c>
      <c r="M61" s="2">
        <v>0</v>
      </c>
      <c r="N61" s="2"/>
      <c r="O61" s="2"/>
      <c r="P61" s="2">
        <v>120</v>
      </c>
      <c r="Q61" s="2"/>
      <c r="R61" s="2">
        <v>0</v>
      </c>
      <c r="S61" s="2"/>
      <c r="T61" s="2"/>
    </row>
    <row r="62" spans="1:21" hidden="1" x14ac:dyDescent="0.25">
      <c r="B62" t="s">
        <v>14</v>
      </c>
      <c r="C62" s="2">
        <v>4</v>
      </c>
      <c r="D62" s="2">
        <v>120</v>
      </c>
      <c r="E62" s="2"/>
      <c r="F62" s="2">
        <v>0</v>
      </c>
      <c r="G62" s="2">
        <v>0</v>
      </c>
      <c r="H62" s="2">
        <v>0</v>
      </c>
      <c r="I62" s="2">
        <v>0</v>
      </c>
      <c r="J62" s="2"/>
      <c r="K62" s="2">
        <v>0</v>
      </c>
      <c r="L62" s="2">
        <v>0</v>
      </c>
      <c r="M62" s="2">
        <v>1</v>
      </c>
      <c r="N62" s="2"/>
      <c r="O62" s="2"/>
      <c r="P62" s="2">
        <v>120</v>
      </c>
      <c r="Q62" s="2"/>
      <c r="R62" s="2">
        <v>0</v>
      </c>
      <c r="S62" s="2"/>
      <c r="T62" s="2"/>
    </row>
    <row r="63" spans="1:21" hidden="1" x14ac:dyDescent="0.25">
      <c r="B63" t="s">
        <v>15</v>
      </c>
      <c r="C63" s="2">
        <v>4</v>
      </c>
      <c r="D63" s="2">
        <v>120</v>
      </c>
      <c r="E63" s="2"/>
      <c r="F63" s="2">
        <v>0</v>
      </c>
      <c r="G63" s="2">
        <v>45</v>
      </c>
      <c r="H63" s="2">
        <v>0</v>
      </c>
      <c r="I63" s="2">
        <v>0</v>
      </c>
      <c r="J63" s="2"/>
      <c r="K63" s="2">
        <v>0</v>
      </c>
      <c r="L63" s="2"/>
      <c r="M63" s="2"/>
      <c r="N63" s="2"/>
      <c r="O63" s="2"/>
      <c r="P63" s="2">
        <v>165</v>
      </c>
      <c r="Q63" s="2"/>
      <c r="R63" s="2">
        <v>0</v>
      </c>
      <c r="S63" s="2"/>
      <c r="T63" s="2"/>
    </row>
    <row r="64" spans="1:21" hidden="1" x14ac:dyDescent="0.25">
      <c r="B64" t="s">
        <v>16</v>
      </c>
      <c r="C64" s="2">
        <v>4</v>
      </c>
      <c r="D64" s="2">
        <v>120</v>
      </c>
      <c r="E64" s="2"/>
      <c r="F64" s="2">
        <v>0</v>
      </c>
      <c r="G64" s="2">
        <v>0</v>
      </c>
      <c r="H64" s="2">
        <v>0</v>
      </c>
      <c r="I64" s="2">
        <v>0</v>
      </c>
      <c r="J64" s="2"/>
      <c r="K64" s="2">
        <v>0</v>
      </c>
      <c r="L64" s="2">
        <v>0</v>
      </c>
      <c r="M64" s="2">
        <v>0</v>
      </c>
      <c r="N64" s="2"/>
      <c r="O64" s="2"/>
      <c r="P64" s="2">
        <v>120</v>
      </c>
      <c r="Q64" s="2"/>
      <c r="R64" s="2">
        <v>0</v>
      </c>
      <c r="S64" s="2"/>
      <c r="T64" s="2"/>
    </row>
    <row r="65" spans="2:20" hidden="1" x14ac:dyDescent="0.25">
      <c r="B65" t="s">
        <v>17</v>
      </c>
      <c r="C65" s="2">
        <v>3</v>
      </c>
      <c r="D65" s="2">
        <v>90</v>
      </c>
      <c r="E65" s="2"/>
      <c r="F65" s="2">
        <v>0</v>
      </c>
      <c r="G65" s="2">
        <v>0</v>
      </c>
      <c r="H65" s="2">
        <v>0</v>
      </c>
      <c r="I65" s="2">
        <v>0</v>
      </c>
      <c r="J65" s="2"/>
      <c r="K65" s="2">
        <v>0</v>
      </c>
      <c r="L65" s="2"/>
      <c r="M65" s="2"/>
      <c r="N65" s="2"/>
      <c r="O65" s="2"/>
      <c r="P65" s="2">
        <v>90</v>
      </c>
      <c r="Q65" s="2"/>
      <c r="R65" s="2">
        <v>0</v>
      </c>
      <c r="S65" s="2"/>
      <c r="T65" s="2"/>
    </row>
    <row r="66" spans="2:20" hidden="1" x14ac:dyDescent="0.25">
      <c r="B66" t="s">
        <v>18</v>
      </c>
      <c r="C66" s="2">
        <v>2</v>
      </c>
      <c r="D66" s="2">
        <v>60</v>
      </c>
      <c r="E66" s="2"/>
      <c r="F66" s="2">
        <v>0</v>
      </c>
      <c r="G66" s="2">
        <v>0</v>
      </c>
      <c r="H66" s="2">
        <v>0</v>
      </c>
      <c r="I66" s="2">
        <v>0</v>
      </c>
      <c r="J66" s="2"/>
      <c r="K66" s="2">
        <v>0</v>
      </c>
      <c r="L66" s="2">
        <v>0</v>
      </c>
      <c r="M66" s="2">
        <v>0</v>
      </c>
      <c r="N66" s="2"/>
      <c r="O66" s="2"/>
      <c r="P66" s="2">
        <v>60</v>
      </c>
      <c r="Q66" s="2"/>
      <c r="R66" s="2">
        <v>0</v>
      </c>
      <c r="S66" s="2"/>
      <c r="T66" s="2"/>
    </row>
    <row r="67" spans="2:20" hidden="1" x14ac:dyDescent="0.25">
      <c r="B67" t="s">
        <v>19</v>
      </c>
      <c r="C67" s="2">
        <v>1</v>
      </c>
      <c r="D67" s="2">
        <v>30</v>
      </c>
      <c r="E67" s="2"/>
      <c r="F67" s="2">
        <v>0</v>
      </c>
      <c r="G67" s="2">
        <v>0</v>
      </c>
      <c r="H67" s="2">
        <v>0</v>
      </c>
      <c r="I67" s="2">
        <v>0</v>
      </c>
      <c r="J67" s="2"/>
      <c r="K67" s="2">
        <v>0</v>
      </c>
      <c r="L67" s="2"/>
      <c r="M67" s="2"/>
      <c r="N67" s="2"/>
      <c r="O67" s="2"/>
      <c r="P67" s="2">
        <v>30</v>
      </c>
      <c r="Q67" s="2"/>
      <c r="R67" s="2">
        <v>0</v>
      </c>
      <c r="S67" s="2"/>
      <c r="T67" s="2"/>
    </row>
    <row r="68" spans="2:20" hidden="1" x14ac:dyDescent="0.25">
      <c r="B68" t="s">
        <v>20</v>
      </c>
      <c r="C68" s="2">
        <v>1</v>
      </c>
      <c r="D68" s="2">
        <v>30</v>
      </c>
      <c r="E68" s="2"/>
      <c r="F68" s="2">
        <v>0</v>
      </c>
      <c r="G68" s="2">
        <v>0</v>
      </c>
      <c r="H68" s="2">
        <v>0</v>
      </c>
      <c r="I68" s="2">
        <v>0</v>
      </c>
      <c r="J68" s="2"/>
      <c r="K68" s="2">
        <v>0</v>
      </c>
      <c r="L68" s="2">
        <v>0</v>
      </c>
      <c r="M68" s="2">
        <v>0</v>
      </c>
      <c r="N68" s="2"/>
      <c r="O68" s="2"/>
      <c r="P68" s="2">
        <v>30</v>
      </c>
      <c r="Q68" s="2"/>
      <c r="R68" s="2">
        <v>0</v>
      </c>
      <c r="S68" s="2"/>
      <c r="T68" s="2"/>
    </row>
    <row r="69" spans="2:20" hidden="1" x14ac:dyDescent="0.25">
      <c r="B69" t="s">
        <v>21</v>
      </c>
      <c r="C69" s="2">
        <v>1</v>
      </c>
      <c r="D69" s="2">
        <v>30</v>
      </c>
      <c r="E69" s="2"/>
      <c r="F69" s="2">
        <v>90</v>
      </c>
      <c r="G69" s="2">
        <v>0</v>
      </c>
      <c r="H69" s="2">
        <v>0</v>
      </c>
      <c r="I69" s="2">
        <v>0</v>
      </c>
      <c r="J69" s="2"/>
      <c r="K69" s="2">
        <v>0</v>
      </c>
      <c r="L69" s="2">
        <v>0</v>
      </c>
      <c r="M69" s="2">
        <v>9</v>
      </c>
      <c r="N69" s="2"/>
      <c r="O69" s="2"/>
      <c r="P69" s="2">
        <v>120</v>
      </c>
      <c r="Q69" s="2"/>
      <c r="R69" s="2">
        <v>0</v>
      </c>
      <c r="S69" s="2"/>
      <c r="T69" s="2"/>
    </row>
    <row r="70" spans="2:20" hidden="1" x14ac:dyDescent="0.25">
      <c r="B70" t="s">
        <v>22</v>
      </c>
      <c r="C70" s="2">
        <v>1</v>
      </c>
      <c r="D70" s="2">
        <v>30</v>
      </c>
      <c r="E70" s="2"/>
      <c r="F70" s="2">
        <v>10</v>
      </c>
      <c r="G70" s="2">
        <v>15</v>
      </c>
      <c r="H70" s="2">
        <v>0</v>
      </c>
      <c r="I70" s="2">
        <v>0</v>
      </c>
      <c r="J70" s="2"/>
      <c r="K70" s="2">
        <v>0</v>
      </c>
      <c r="L70" s="2">
        <v>1</v>
      </c>
      <c r="M70" s="2">
        <v>0</v>
      </c>
      <c r="N70" s="2"/>
      <c r="O70" s="2"/>
      <c r="P70" s="2">
        <v>55</v>
      </c>
      <c r="Q70" s="2"/>
      <c r="R70" s="2">
        <v>0</v>
      </c>
      <c r="S70" s="2"/>
      <c r="T70" s="2"/>
    </row>
    <row r="71" spans="2:20" hidden="1" x14ac:dyDescent="0.25">
      <c r="B71" t="s">
        <v>23</v>
      </c>
      <c r="C71" s="2">
        <v>1</v>
      </c>
      <c r="D71" s="2">
        <v>30</v>
      </c>
      <c r="E71" s="2"/>
      <c r="F71" s="2">
        <v>30</v>
      </c>
      <c r="G71" s="2">
        <v>15</v>
      </c>
      <c r="H71" s="2">
        <v>0</v>
      </c>
      <c r="I71" s="2">
        <v>0</v>
      </c>
      <c r="J71" s="2"/>
      <c r="K71" s="2">
        <v>0</v>
      </c>
      <c r="L71" s="2">
        <v>0</v>
      </c>
      <c r="M71" s="2">
        <v>0</v>
      </c>
      <c r="N71" s="2"/>
      <c r="O71" s="2"/>
      <c r="P71" s="2">
        <v>75</v>
      </c>
      <c r="Q71" s="2"/>
      <c r="R71" s="2">
        <v>0</v>
      </c>
      <c r="S71" s="2"/>
      <c r="T71" s="2"/>
    </row>
    <row r="72" spans="2:20" hidden="1" x14ac:dyDescent="0.25">
      <c r="B72" t="s">
        <v>24</v>
      </c>
      <c r="C72">
        <v>1</v>
      </c>
      <c r="D72">
        <v>30</v>
      </c>
      <c r="F72">
        <v>0</v>
      </c>
      <c r="G72">
        <v>0</v>
      </c>
      <c r="H72">
        <v>0</v>
      </c>
      <c r="I72">
        <v>0</v>
      </c>
      <c r="K72">
        <v>0</v>
      </c>
      <c r="L72">
        <v>0</v>
      </c>
      <c r="M72">
        <v>1</v>
      </c>
      <c r="P72">
        <v>30</v>
      </c>
      <c r="R72">
        <v>0</v>
      </c>
    </row>
    <row r="73" spans="2:20" hidden="1" x14ac:dyDescent="0.25">
      <c r="B73" t="s">
        <v>25</v>
      </c>
      <c r="C73">
        <v>1</v>
      </c>
      <c r="D73">
        <v>30</v>
      </c>
      <c r="F73">
        <v>0</v>
      </c>
      <c r="G73">
        <v>15</v>
      </c>
      <c r="H73">
        <v>0</v>
      </c>
      <c r="I73">
        <v>0</v>
      </c>
      <c r="K73">
        <v>0</v>
      </c>
      <c r="P73">
        <v>45</v>
      </c>
      <c r="R73">
        <v>0</v>
      </c>
    </row>
    <row r="74" spans="2:20" hidden="1" x14ac:dyDescent="0.25">
      <c r="B74" t="s">
        <v>26</v>
      </c>
      <c r="C74">
        <v>1</v>
      </c>
      <c r="D74">
        <v>30</v>
      </c>
      <c r="F74">
        <v>0</v>
      </c>
      <c r="G74">
        <v>0</v>
      </c>
      <c r="H74">
        <v>0</v>
      </c>
      <c r="I74">
        <v>0</v>
      </c>
      <c r="K74">
        <v>0</v>
      </c>
      <c r="P74">
        <v>30</v>
      </c>
      <c r="R74">
        <v>0</v>
      </c>
    </row>
    <row r="75" spans="2:20" hidden="1" x14ac:dyDescent="0.25">
      <c r="B75" t="s">
        <v>27</v>
      </c>
      <c r="C75">
        <v>0</v>
      </c>
      <c r="D75">
        <v>0</v>
      </c>
      <c r="F75">
        <v>0</v>
      </c>
      <c r="G75">
        <v>0</v>
      </c>
      <c r="H75">
        <v>1</v>
      </c>
      <c r="I75">
        <v>30</v>
      </c>
      <c r="K75">
        <v>21</v>
      </c>
      <c r="L75">
        <v>0</v>
      </c>
      <c r="M75">
        <v>3</v>
      </c>
      <c r="P75">
        <v>97</v>
      </c>
      <c r="R75">
        <v>46</v>
      </c>
    </row>
    <row r="76" spans="2:20" hidden="1" x14ac:dyDescent="0.25"/>
  </sheetData>
  <mergeCells count="1">
    <mergeCell ref="A1:O1"/>
  </mergeCells>
  <pageMargins left="0.3" right="0.13" top="0.42" bottom="0.28000000000000003" header="0.16" footer="0.3"/>
  <pageSetup paperSize="9" scale="93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Summary</vt:lpstr>
      <vt:lpstr>Summary!Print_Area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 Joy</dc:creator>
  <cp:lastModifiedBy>Sachin Kumar</cp:lastModifiedBy>
  <cp:lastPrinted>2016-10-09T08:17:32Z</cp:lastPrinted>
  <dcterms:created xsi:type="dcterms:W3CDTF">2016-10-08T11:28:40Z</dcterms:created>
  <dcterms:modified xsi:type="dcterms:W3CDTF">2017-01-25T09:20:30Z</dcterms:modified>
</cp:coreProperties>
</file>