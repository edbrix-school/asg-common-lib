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10.100.100.3\erp_reports\Reports\ExcelTemplates\"/>
    </mc:Choice>
  </mc:AlternateContent>
  <xr:revisionPtr revIDLastSave="0" documentId="13_ncr:1_{9B25087F-D7D3-4053-9AE2-17FD528475E3}" xr6:coauthVersionLast="45" xr6:coauthVersionMax="45" xr10:uidLastSave="{00000000-0000-0000-0000-000000000000}"/>
  <bookViews>
    <workbookView xWindow="28680" yWindow="3000" windowWidth="20730" windowHeight="11760" tabRatio="598" activeTab="10" xr2:uid="{00000000-000D-0000-FFFF-FFFF00000000}"/>
  </bookViews>
  <sheets>
    <sheet name="VA" sheetId="3" r:id="rId1"/>
    <sheet name="BS&amp;PL" sheetId="1" r:id="rId2"/>
    <sheet name="PY" sheetId="18" r:id="rId3"/>
    <sheet name="CF" sheetId="19" r:id="rId4"/>
    <sheet name="EQT" sheetId="15" r:id="rId5"/>
    <sheet name="BSSH" sheetId="4" r:id="rId6"/>
    <sheet name="RECV" sheetId="16" r:id="rId7"/>
    <sheet name="EXP" sheetId="5" r:id="rId8"/>
    <sheet name="DRS" sheetId="23" r:id="rId9"/>
    <sheet name="ADV" sheetId="21" r:id="rId10"/>
    <sheet name="CRS" sheetId="22" r:id="rId11"/>
    <sheet name="P&amp;L" sheetId="6" r:id="rId12"/>
    <sheet name="ASSET" sheetId="13" r:id="rId13"/>
    <sheet name="Chart1" sheetId="26" r:id="rId14"/>
    <sheet name="GRAPH" sheetId="24" r:id="rId15"/>
    <sheet name="tb" sheetId="27" r:id="rId16"/>
  </sheets>
  <definedNames>
    <definedName name="_xlnm.Print_Titles" localSheetId="10">CRS!$3:$3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5" i="27" l="1"/>
  <c r="K15" i="27"/>
  <c r="C99" i="21" l="1"/>
  <c r="C100" i="21"/>
  <c r="C101" i="21"/>
  <c r="C102" i="21"/>
  <c r="C98" i="21"/>
  <c r="B99" i="21"/>
  <c r="B100" i="21"/>
  <c r="B101" i="21"/>
  <c r="B102" i="21"/>
  <c r="B103" i="21"/>
  <c r="B104" i="21"/>
  <c r="B98" i="21"/>
  <c r="C80" i="21"/>
  <c r="C81" i="21"/>
  <c r="C82" i="21"/>
  <c r="C83" i="21"/>
  <c r="C84" i="21"/>
  <c r="C85" i="21"/>
  <c r="C86" i="21"/>
  <c r="C89" i="21"/>
  <c r="C91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C163" i="22"/>
  <c r="C90" i="21"/>
  <c r="C87" i="21"/>
  <c r="C5" i="21" l="1"/>
  <c r="C59" i="21" s="1"/>
  <c r="D10" i="13"/>
  <c r="I14" i="6" l="1"/>
  <c r="I17" i="6"/>
  <c r="I11" i="6"/>
  <c r="I7" i="6"/>
  <c r="I9" i="6"/>
  <c r="I6" i="6"/>
  <c r="C88" i="21" l="1"/>
  <c r="E46" i="15" l="1"/>
  <c r="F46" i="15" s="1"/>
  <c r="E47" i="15" l="1"/>
  <c r="C104" i="21" l="1"/>
  <c r="C103" i="21"/>
  <c r="C106" i="21" s="1"/>
  <c r="D9" i="13"/>
  <c r="D8" i="13"/>
  <c r="D7" i="13"/>
  <c r="D6" i="13" l="1"/>
  <c r="O17" i="6" l="1"/>
  <c r="K16" i="6"/>
  <c r="K19" i="6" s="1"/>
  <c r="K5" i="24" s="1"/>
  <c r="J10" i="6"/>
  <c r="J16" i="6" s="1"/>
  <c r="J19" i="6" s="1"/>
  <c r="J5" i="24" s="1"/>
  <c r="K10" i="6"/>
  <c r="K4" i="24" s="1"/>
  <c r="L10" i="6"/>
  <c r="L4" i="24" s="1"/>
  <c r="M10" i="6"/>
  <c r="M16" i="6" s="1"/>
  <c r="M19" i="6" s="1"/>
  <c r="M5" i="24" s="1"/>
  <c r="N10" i="6"/>
  <c r="N4" i="24" s="1"/>
  <c r="D19" i="6"/>
  <c r="E3" i="24"/>
  <c r="D4" i="24"/>
  <c r="J4" i="24"/>
  <c r="M4" i="24"/>
  <c r="F3" i="24"/>
  <c r="G3" i="24"/>
  <c r="H3" i="24"/>
  <c r="I3" i="24"/>
  <c r="J3" i="24"/>
  <c r="K3" i="24"/>
  <c r="L3" i="24"/>
  <c r="M3" i="24"/>
  <c r="N3" i="24"/>
  <c r="D3" i="24"/>
  <c r="I13" i="6"/>
  <c r="O14" i="6"/>
  <c r="O11" i="6"/>
  <c r="O9" i="6"/>
  <c r="D5" i="13"/>
  <c r="I12" i="6"/>
  <c r="I8" i="6"/>
  <c r="I10" i="6" s="1"/>
  <c r="N16" i="6" l="1"/>
  <c r="N19" i="6" s="1"/>
  <c r="N5" i="24" s="1"/>
  <c r="L16" i="6"/>
  <c r="L19" i="6" s="1"/>
  <c r="L5" i="24" s="1"/>
  <c r="I4" i="24"/>
  <c r="H4" i="24"/>
  <c r="F4" i="24"/>
  <c r="G19" i="6"/>
  <c r="G5" i="24" s="1"/>
  <c r="E4" i="24"/>
  <c r="G4" i="24" l="1"/>
  <c r="E28" i="6"/>
  <c r="F28" i="6"/>
  <c r="G28" i="6"/>
  <c r="H28" i="6"/>
  <c r="I28" i="6"/>
  <c r="J28" i="6"/>
  <c r="K28" i="6"/>
  <c r="L28" i="6"/>
  <c r="M28" i="6"/>
  <c r="N28" i="6"/>
  <c r="G24" i="6"/>
  <c r="J24" i="6"/>
  <c r="K24" i="6"/>
  <c r="L24" i="6"/>
  <c r="M24" i="6"/>
  <c r="N24" i="6"/>
  <c r="E22" i="6"/>
  <c r="E26" i="6" s="1"/>
  <c r="F22" i="6"/>
  <c r="F26" i="6" s="1"/>
  <c r="G22" i="6"/>
  <c r="G26" i="6" s="1"/>
  <c r="H22" i="6"/>
  <c r="H26" i="6" s="1"/>
  <c r="I22" i="6"/>
  <c r="I26" i="6" s="1"/>
  <c r="J22" i="6"/>
  <c r="J26" i="6" s="1"/>
  <c r="K22" i="6"/>
  <c r="K26" i="6" s="1"/>
  <c r="L22" i="6"/>
  <c r="L26" i="6" s="1"/>
  <c r="M22" i="6"/>
  <c r="M26" i="6" s="1"/>
  <c r="N22" i="6"/>
  <c r="N26" i="6" s="1"/>
  <c r="N20" i="6"/>
  <c r="D4" i="13" l="1"/>
  <c r="E43" i="15" l="1"/>
  <c r="F43" i="15" s="1"/>
  <c r="F47" i="15"/>
  <c r="F64" i="21" l="1"/>
  <c r="B93" i="21" l="1"/>
  <c r="B92" i="21"/>
  <c r="B79" i="21"/>
  <c r="G54" i="15" l="1"/>
  <c r="H54" i="15"/>
  <c r="I54" i="15"/>
  <c r="J54" i="15"/>
  <c r="K54" i="15"/>
  <c r="L54" i="15"/>
  <c r="M54" i="15"/>
  <c r="N54" i="15"/>
  <c r="O54" i="15"/>
  <c r="P54" i="15"/>
  <c r="C16" i="13" l="1"/>
  <c r="E14" i="13"/>
  <c r="E13" i="13"/>
  <c r="E12" i="13"/>
  <c r="E11" i="13"/>
  <c r="E10" i="13"/>
  <c r="E9" i="13"/>
  <c r="E8" i="13"/>
  <c r="E7" i="13"/>
  <c r="E6" i="13"/>
  <c r="E5" i="13"/>
  <c r="E4" i="13"/>
  <c r="D16" i="13" l="1"/>
  <c r="E15" i="13"/>
  <c r="E16" i="13" s="1"/>
  <c r="E35" i="15" l="1"/>
  <c r="F35" i="15" l="1"/>
  <c r="C66" i="21" l="1"/>
  <c r="C68" i="21" l="1"/>
  <c r="C79" i="21"/>
  <c r="C93" i="21" s="1"/>
  <c r="C67" i="21" l="1"/>
  <c r="C69" i="21" l="1"/>
  <c r="F26" i="15" l="1"/>
  <c r="F25" i="15"/>
  <c r="F23" i="15"/>
  <c r="E22" i="15" l="1"/>
  <c r="P39" i="6" l="1"/>
  <c r="E21" i="15"/>
  <c r="O35" i="6" l="1"/>
  <c r="F18" i="15" l="1"/>
  <c r="F17" i="15"/>
  <c r="F19" i="15"/>
  <c r="F22" i="15" l="1"/>
  <c r="F21" i="15"/>
  <c r="F15" i="15"/>
  <c r="E14" i="15" l="1"/>
  <c r="E13" i="15" l="1"/>
  <c r="F13" i="15" s="1"/>
  <c r="F14" i="15"/>
  <c r="E10" i="15" l="1"/>
  <c r="F10" i="15" s="1"/>
  <c r="O7" i="6"/>
  <c r="C12" i="15"/>
  <c r="D12" i="15"/>
  <c r="B12" i="15"/>
  <c r="A2" i="18"/>
  <c r="C3" i="24" l="1"/>
  <c r="D16" i="15"/>
  <c r="D20" i="15" s="1"/>
  <c r="B16" i="15"/>
  <c r="B20" i="15" s="1"/>
  <c r="C16" i="15"/>
  <c r="C20" i="15" s="1"/>
  <c r="I15" i="6"/>
  <c r="I16" i="6" s="1"/>
  <c r="I19" i="6" s="1"/>
  <c r="I5" i="24" l="1"/>
  <c r="I24" i="6"/>
  <c r="F19" i="6"/>
  <c r="F5" i="24" s="1"/>
  <c r="H19" i="6"/>
  <c r="O15" i="6"/>
  <c r="E19" i="6"/>
  <c r="D28" i="6"/>
  <c r="O6" i="6"/>
  <c r="C28" i="6"/>
  <c r="C37" i="6"/>
  <c r="C36" i="6"/>
  <c r="O13" i="6"/>
  <c r="B24" i="15"/>
  <c r="C24" i="15"/>
  <c r="D24" i="15"/>
  <c r="O8" i="6"/>
  <c r="F24" i="6" l="1"/>
  <c r="H5" i="24"/>
  <c r="H24" i="6"/>
  <c r="E5" i="24"/>
  <c r="E24" i="6"/>
  <c r="D28" i="15"/>
  <c r="D32" i="15" s="1"/>
  <c r="B28" i="15"/>
  <c r="B32" i="15" s="1"/>
  <c r="C28" i="15"/>
  <c r="O36" i="6"/>
  <c r="O37" i="6"/>
  <c r="O28" i="6"/>
  <c r="D36" i="15" l="1"/>
  <c r="D40" i="15" s="1"/>
  <c r="D44" i="15" s="1"/>
  <c r="D48" i="15" s="1"/>
  <c r="D54" i="15" s="1"/>
  <c r="B36" i="15"/>
  <c r="B40" i="15" s="1"/>
  <c r="B44" i="15" s="1"/>
  <c r="B48" i="15" s="1"/>
  <c r="B54" i="15" s="1"/>
  <c r="C32" i="15"/>
  <c r="E12" i="15"/>
  <c r="E16" i="15" s="1"/>
  <c r="E20" i="15" s="1"/>
  <c r="E24" i="15" s="1"/>
  <c r="E28" i="15" s="1"/>
  <c r="E32" i="15" s="1"/>
  <c r="E36" i="15" s="1"/>
  <c r="C36" i="15" l="1"/>
  <c r="C40" i="15" s="1"/>
  <c r="C44" i="15" s="1"/>
  <c r="C48" i="15" s="1"/>
  <c r="C54" i="15" s="1"/>
  <c r="F11" i="15"/>
  <c r="F12" i="15" s="1"/>
  <c r="F16" i="15" s="1"/>
  <c r="F20" i="15" s="1"/>
  <c r="F24" i="15" s="1"/>
  <c r="F28" i="15" s="1"/>
  <c r="O12" i="6" l="1"/>
  <c r="D22" i="6" l="1"/>
  <c r="D26" i="6" s="1"/>
  <c r="D5" i="24"/>
  <c r="C19" i="6"/>
  <c r="C4" i="24"/>
  <c r="O10" i="6"/>
  <c r="O16" i="6" s="1"/>
  <c r="C24" i="6" l="1"/>
  <c r="C20" i="6"/>
  <c r="D20" i="6" s="1"/>
  <c r="E20" i="6" s="1"/>
  <c r="F20" i="6" s="1"/>
  <c r="G20" i="6" s="1"/>
  <c r="H20" i="6" s="1"/>
  <c r="I20" i="6" s="1"/>
  <c r="D24" i="6"/>
  <c r="C5" i="24"/>
  <c r="C34" i="6"/>
  <c r="C39" i="6" s="1"/>
  <c r="O34" i="6"/>
  <c r="O39" i="6" s="1"/>
  <c r="C22" i="6" l="1"/>
  <c r="C26" i="6" s="1"/>
  <c r="O19" i="6"/>
  <c r="O22" i="6"/>
  <c r="O26" i="6" s="1"/>
  <c r="F31" i="15" l="1"/>
  <c r="F32" i="15" s="1"/>
  <c r="F36" i="15" s="1"/>
  <c r="O24" i="6"/>
  <c r="E52" i="15" l="1"/>
  <c r="F52" i="15" s="1"/>
  <c r="E40" i="15"/>
  <c r="E44" i="15" s="1"/>
  <c r="E48" i="15" l="1"/>
  <c r="E54" i="15" s="1"/>
  <c r="F39" i="15"/>
  <c r="F40" i="15" s="1"/>
  <c r="F44" i="15" s="1"/>
  <c r="F48" i="15" s="1"/>
  <c r="F54" i="15" s="1"/>
</calcChain>
</file>

<file path=xl/sharedStrings.xml><?xml version="1.0" encoding="utf-8"?>
<sst xmlns="http://schemas.openxmlformats.org/spreadsheetml/2006/main" count="1835" uniqueCount="616">
  <si>
    <t>Budget</t>
  </si>
  <si>
    <t>Actual</t>
  </si>
  <si>
    <t>BD.</t>
  </si>
  <si>
    <t>Statement of Income and Profit &amp; Loss A/c.</t>
  </si>
  <si>
    <t>GROSS PROFIT</t>
  </si>
  <si>
    <t>STATEMENT OF CHANGES IN EQUITY</t>
  </si>
  <si>
    <t>Share</t>
  </si>
  <si>
    <t>Capital</t>
  </si>
  <si>
    <t>Total</t>
  </si>
  <si>
    <t>Reserve</t>
  </si>
  <si>
    <t xml:space="preserve">VARIANCE ANALYSIS </t>
  </si>
  <si>
    <t>SL</t>
  </si>
  <si>
    <t>DESCRIPTION</t>
  </si>
  <si>
    <t>BUDGET</t>
  </si>
  <si>
    <t>ACTUAL</t>
  </si>
  <si>
    <t>VARIANCE</t>
  </si>
  <si>
    <t>OTHER INCOME</t>
  </si>
  <si>
    <t>COST OF SALES</t>
  </si>
  <si>
    <t>OTHER DIRECT COSTS</t>
  </si>
  <si>
    <t>DIRECT WAGES</t>
  </si>
  <si>
    <t>ADMINISTRATIVE SALARY</t>
  </si>
  <si>
    <t>PROFIT FM OPERATIONS</t>
  </si>
  <si>
    <t>BANK INTEREST</t>
  </si>
  <si>
    <t>NET PROFIT / LOSS</t>
  </si>
  <si>
    <t>NOTES :</t>
  </si>
  <si>
    <t>Sl</t>
  </si>
  <si>
    <t>Description</t>
  </si>
  <si>
    <t>Remarks</t>
  </si>
  <si>
    <t>Amount</t>
  </si>
  <si>
    <t>Other Direct Cost</t>
  </si>
  <si>
    <t>NOV</t>
  </si>
  <si>
    <t>TOTAL</t>
  </si>
  <si>
    <t>DEC</t>
  </si>
  <si>
    <t>DIRECT EXPENSES</t>
  </si>
  <si>
    <t>SL NO.</t>
  </si>
  <si>
    <t>AMOUNT (BD.)</t>
  </si>
  <si>
    <t>SL.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</si>
  <si>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</si>
  <si>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</si>
  <si>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</si>
  <si>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</si>
  <si>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</si>
  <si>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</si>
  <si>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</si>
  <si>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</si>
  <si>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</si>
  <si>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</si>
  <si>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GENERAL &amp; ADMINISTRATIVE</t>
  </si>
  <si>
    <t>REMARKS</t>
  </si>
  <si>
    <t>NAME OF PARTY</t>
  </si>
  <si>
    <t>CROWN INDUSTRIES W.L.L., BAHRAIN</t>
  </si>
  <si>
    <t>Other Income</t>
  </si>
  <si>
    <t>GROSS PROFIT RATIO</t>
  </si>
  <si>
    <t>NET PROFIT RATIO</t>
  </si>
  <si>
    <t>COST OF SALES %</t>
  </si>
  <si>
    <t>MONTH</t>
  </si>
  <si>
    <t>Retained</t>
  </si>
  <si>
    <t>earnings</t>
  </si>
  <si>
    <t>MATERIAL COST</t>
  </si>
  <si>
    <t xml:space="preserve">RECEIVABLE FROM RELATED PARTIES </t>
  </si>
  <si>
    <t>SELLING EXPENSES</t>
  </si>
  <si>
    <t xml:space="preserve">PAYABLE TO RELATED PARTIES </t>
  </si>
  <si>
    <t>*</t>
  </si>
  <si>
    <t xml:space="preserve">  Legal       </t>
  </si>
  <si>
    <t>Cash flows</t>
  </si>
  <si>
    <t>(Bahraini Dinars)</t>
  </si>
  <si>
    <t>OTHER OP. EXPENSES</t>
  </si>
  <si>
    <t>ADMIN</t>
  </si>
  <si>
    <t>DIRECT</t>
  </si>
  <si>
    <t>REVENUE</t>
  </si>
  <si>
    <t>EXPORT</t>
  </si>
  <si>
    <t>CUSTOMERS NAME</t>
  </si>
  <si>
    <t>AMOUNT(BD.)</t>
  </si>
  <si>
    <t>LESS: PROVISION FOR DOUBTFUL DEBTS</t>
  </si>
  <si>
    <t>GRAND TOTAL</t>
  </si>
  <si>
    <t>S NO.</t>
  </si>
  <si>
    <t>AMOUNT</t>
  </si>
  <si>
    <t>ADVANCE TO SUPPLIERS</t>
  </si>
  <si>
    <t>SL.NO.</t>
  </si>
  <si>
    <t>NAME OF SUPPLIERS</t>
  </si>
  <si>
    <t>HABIB G H MEAR</t>
  </si>
  <si>
    <t>KOSHY ABRAHAM</t>
  </si>
  <si>
    <t>MOHAMMED ASGHAR</t>
  </si>
  <si>
    <t xml:space="preserve"> - 6 -</t>
  </si>
  <si>
    <t xml:space="preserve">  - 13 -</t>
  </si>
  <si>
    <t>SALES</t>
  </si>
  <si>
    <t xml:space="preserve">GROSS PROFIT </t>
  </si>
  <si>
    <t xml:space="preserve">NET PROFIT </t>
  </si>
  <si>
    <t>GROSS</t>
  </si>
  <si>
    <t xml:space="preserve"> - 2 -</t>
  </si>
  <si>
    <t>AL MANAR ESTABLISHMENT</t>
  </si>
  <si>
    <t>MEER TRADING(NASER H MEER)</t>
  </si>
  <si>
    <t>P.S.ABRAHAM (MAGIC TRDG)</t>
  </si>
  <si>
    <t>Profit - Year to Date</t>
  </si>
  <si>
    <t>MUHD TALHA RIAZ(AYSHA SCRAP)</t>
  </si>
  <si>
    <t>Balance as on 31-12-2008</t>
  </si>
  <si>
    <t xml:space="preserve">  - 1 -</t>
  </si>
  <si>
    <t>ALUMINIUM BAHRAIN</t>
  </si>
  <si>
    <t>Interim Dividends paid- Year 2009</t>
  </si>
  <si>
    <t>Profit from Jan to Dec 2009</t>
  </si>
  <si>
    <t>Balance as on 31-12-2009</t>
  </si>
  <si>
    <t>Final Dividends paid- Year 2009</t>
  </si>
  <si>
    <t>Interim Dividends paid- Year 2010</t>
  </si>
  <si>
    <t>Balance as on 31-12-2010</t>
  </si>
  <si>
    <t>Profit from Jan to Dec 2010</t>
  </si>
  <si>
    <t>Final Dividends paid- Year 2010</t>
  </si>
  <si>
    <t>Interim Dividends paid- Year 2011</t>
  </si>
  <si>
    <t>Final Dividends paid- Year 2011</t>
  </si>
  <si>
    <t>PROVISION MADE FOR DOUBTFUL DEBTS</t>
  </si>
  <si>
    <t>PS RECOVERY</t>
  </si>
  <si>
    <t>income</t>
  </si>
  <si>
    <t>cogs</t>
  </si>
  <si>
    <t>other exps-qatar tender</t>
  </si>
  <si>
    <t>np</t>
  </si>
  <si>
    <t>Final Dividends paid- Year 2012</t>
  </si>
  <si>
    <t>Profit from Jan to Dec 2011</t>
  </si>
  <si>
    <t>Profit from Jan to Dec 2012</t>
  </si>
  <si>
    <t>Interim Dividends paid- Year 2013</t>
  </si>
  <si>
    <t>Final Dividends paid- Year 2013</t>
  </si>
  <si>
    <t>Balance as in 31-12-2011</t>
  </si>
  <si>
    <t>Balance as on 31-12-2012</t>
  </si>
  <si>
    <t>BAHRAIN PETROLEUM CO. (FUEL)</t>
  </si>
  <si>
    <t>Y.K ALMOAYYED &amp; SONS</t>
  </si>
  <si>
    <t>DIFF</t>
  </si>
  <si>
    <t>Profit from Jan to Dec 2013</t>
  </si>
  <si>
    <t>Balance as on 31-12-2013</t>
  </si>
  <si>
    <t>Interim Dividends paid- Year 2014</t>
  </si>
  <si>
    <t>Comparison -Statement of Income and Profit &amp; Loss A/c.</t>
  </si>
  <si>
    <t>SHIHABUDEEN</t>
  </si>
  <si>
    <t>B.R.C.WELDMESH(GULF)W.L.L</t>
  </si>
  <si>
    <t>GENERAL &amp;  ADMINISTRATIVE EXPENSES (FIXED EXPENSES)</t>
  </si>
  <si>
    <t>book value of equity</t>
  </si>
  <si>
    <t>average turn over of last 3 years</t>
  </si>
  <si>
    <t>4.3 m  bd</t>
  </si>
  <si>
    <t>for drms by essa najibi</t>
  </si>
  <si>
    <t>Final Dividends paid- Year 2014</t>
  </si>
  <si>
    <t>Balance as on 31-12-2014</t>
  </si>
  <si>
    <t>Interim Dividends paid- Year 2015</t>
  </si>
  <si>
    <t>Final Dividends paid- Year 2015</t>
  </si>
  <si>
    <t>BAHRAIN STEEL BSCC(EC) (GIIC)</t>
  </si>
  <si>
    <t>ACCUMULATED YTD PROFIT/LOSS</t>
  </si>
  <si>
    <t>Balance as on 31-12-2015</t>
  </si>
  <si>
    <t>Interim Dividends paid- Year 2016</t>
  </si>
  <si>
    <t>Final Dividends paid- Year 2016</t>
  </si>
  <si>
    <t>MINISTRY OF WORKS</t>
  </si>
  <si>
    <t>BAHRAIN PETROLEUM CO.</t>
  </si>
  <si>
    <t>CENTRAL STORES DIRECTORATE</t>
  </si>
  <si>
    <t>REDOMA RECYCLING AB</t>
  </si>
  <si>
    <t>Balance as on 31-12-2016</t>
  </si>
  <si>
    <t>Interim Dividends paid- Year 2017</t>
  </si>
  <si>
    <t>Final Dividends paid- Year 2017</t>
  </si>
  <si>
    <t>AL SAIE INFORMATION TECHNOLOGY</t>
  </si>
  <si>
    <t>Balance as on 31-12-2017</t>
  </si>
  <si>
    <t>Interim Dividends paid- Year 2018</t>
  </si>
  <si>
    <t>Balance as on 31-12-2018</t>
  </si>
  <si>
    <t>AL JEBEL SCRAP</t>
  </si>
  <si>
    <t>AMAN ALMADINA ADVERTISING CO</t>
  </si>
  <si>
    <t>BULLDOZER GULF CO.</t>
  </si>
  <si>
    <t>FAMCO(AL-FUTTAIM AUTO&amp;MACH CO)</t>
  </si>
  <si>
    <t>HABIB MEER (METALCO)</t>
  </si>
  <si>
    <t>JF HILLEBRAND MIDDLE EAST LLC</t>
  </si>
  <si>
    <t>JOSETECH WELDING</t>
  </si>
  <si>
    <t>JOSETECH WELDING,BLACKSMITH</t>
  </si>
  <si>
    <t>JSR INTERNATIONAL FZC</t>
  </si>
  <si>
    <t>MR.PILLAPPAN</t>
  </si>
  <si>
    <t>PROFESSIONS AUTO REPAIRS</t>
  </si>
  <si>
    <t>SOUTH AREA MUNICIPALITY</t>
  </si>
  <si>
    <t>TATWEER PETROLEUM CO</t>
  </si>
  <si>
    <t>TOP5 FABRICATION WORKSHOP</t>
  </si>
  <si>
    <t>YAQEEN ALUMINIUM</t>
  </si>
  <si>
    <t>AL EZZEL OPER&amp;MAINT(POWER PLNT</t>
  </si>
  <si>
    <t>BUREAU VERITAS BAHRAIN</t>
  </si>
  <si>
    <t>JV INTERNATIONAL (RAJIV GUPTA)</t>
  </si>
  <si>
    <t>SHIVA INTERNATIONAL- BAHL B L</t>
  </si>
  <si>
    <t>Interim Dividends paid- Year 2019</t>
  </si>
  <si>
    <t>Final Dividends paid- Year 2019</t>
  </si>
  <si>
    <t>BAHRAIN GAS WLL</t>
  </si>
  <si>
    <t>CUSTOMS DIRECTORATE &amp; AFFAIRS</t>
  </si>
  <si>
    <t>NASS CORPORATION</t>
  </si>
  <si>
    <t>ABU-OBAID CONT&amp;TRADING GROUP</t>
  </si>
  <si>
    <t>AL SANGAL CONSTRUCTION EST</t>
  </si>
  <si>
    <t>ARABIAN MARINAS CO</t>
  </si>
  <si>
    <t>AWAL REFRIGERATION&amp; A/C</t>
  </si>
  <si>
    <t>CALIFORNIA CAR EXPORT</t>
  </si>
  <si>
    <t>CAPITAL MUNICIPALITY</t>
  </si>
  <si>
    <t>CUSTOMS</t>
  </si>
  <si>
    <t>DURAZ INET</t>
  </si>
  <si>
    <t>GULF TECHNICAL SERVICES-</t>
  </si>
  <si>
    <t>INCI PROJ ENGR</t>
  </si>
  <si>
    <t>INTERNATIONAL WIRENETTING INDU</t>
  </si>
  <si>
    <t>KRONOS ELECTRICAL CONTRACTING</t>
  </si>
  <si>
    <t>MOHAMMAD BIN JASIM AL ZAYANI</t>
  </si>
  <si>
    <t>ODPAD D.O.O.PIVKA</t>
  </si>
  <si>
    <t>REFCONE HEAT INSULATION</t>
  </si>
  <si>
    <t>SULB COMPANY B.S.C(C)</t>
  </si>
  <si>
    <t>Variance Analysis is prepared based on the 'Budget '.</t>
  </si>
  <si>
    <t>Turnover &amp; Profits</t>
  </si>
  <si>
    <t>Cost of Sales (material)</t>
  </si>
  <si>
    <t>Direct Wages</t>
  </si>
  <si>
    <t>Direct wages is comparatively high due to  new appointments</t>
  </si>
  <si>
    <t>General &amp; Administration expenses</t>
  </si>
  <si>
    <t>It includes Depreciation for BD 1,600</t>
  </si>
  <si>
    <t>Interest</t>
  </si>
  <si>
    <t>It includes interest on shareholders' loan BD 1,301</t>
  </si>
  <si>
    <t xml:space="preserve">  - 17 -</t>
  </si>
  <si>
    <t>Provision as per IFRS-9 (Accumulated loss -CSM Subsidiary) &amp; other receivables.</t>
  </si>
  <si>
    <t>PROFIT &amp; LOSS ACCOUNT FROM JANUARY TO JULY 2019 (YTD)</t>
  </si>
  <si>
    <t>Alyusuf Aluminum W.L.L</t>
  </si>
  <si>
    <t>ROJO MACHINES FINLAND</t>
  </si>
  <si>
    <t>AS ON 31 JULY 2019</t>
  </si>
  <si>
    <t xml:space="preserve">                                                                                </t>
  </si>
  <si>
    <t>Turnover is not reached budget still there is profit due to GD material and proc income</t>
  </si>
  <si>
    <t xml:space="preserve">cost of Sales percentage is comparatively less  due to GD material </t>
  </si>
  <si>
    <t>Depreciation for machineries BD 26,015, Repairs to machineries BD 6,595</t>
  </si>
  <si>
    <t>It includes Incineration income of BD 30,338</t>
  </si>
  <si>
    <t>Sale of fixed assets BD 1,570</t>
  </si>
  <si>
    <t>It includes Repairs and Maintenance to Vehicles for BD 3,828</t>
  </si>
  <si>
    <t>January 01 To July 31, 2019</t>
  </si>
  <si>
    <t>level</t>
  </si>
  <si>
    <t>ctrldiv</t>
  </si>
  <si>
    <t>ctrlaccode</t>
  </si>
  <si>
    <t>division</t>
  </si>
  <si>
    <t>accode</t>
  </si>
  <si>
    <t>acname</t>
  </si>
  <si>
    <t>actype</t>
  </si>
  <si>
    <t>acbal</t>
  </si>
  <si>
    <t/>
  </si>
  <si>
    <t>New</t>
  </si>
  <si>
    <t>02</t>
  </si>
  <si>
    <t xml:space="preserve">          FIXED ASSETS</t>
  </si>
  <si>
    <t>GA</t>
  </si>
  <si>
    <t>1510</t>
  </si>
  <si>
    <t xml:space="preserve">                              LAND AT RAS ZUWAYED</t>
  </si>
  <si>
    <t>ASSET</t>
  </si>
  <si>
    <t>1511</t>
  </si>
  <si>
    <t xml:space="preserve">                              BUILDINGS</t>
  </si>
  <si>
    <t>1521</t>
  </si>
  <si>
    <t xml:space="preserve">                              PLANT &amp; MACHINERY</t>
  </si>
  <si>
    <t>1531</t>
  </si>
  <si>
    <t xml:space="preserve">                              VEHICLES</t>
  </si>
  <si>
    <t>1541</t>
  </si>
  <si>
    <t xml:space="preserve">                              FURNITURE &amp; FIXTURES</t>
  </si>
  <si>
    <t>CA</t>
  </si>
  <si>
    <t>1551</t>
  </si>
  <si>
    <t xml:space="preserve">                              CAPITAL WORK IN PROGRESS</t>
  </si>
  <si>
    <t xml:space="preserve">                              COMPUTER AND OFFICE EQUIPMENT</t>
  </si>
  <si>
    <t xml:space="preserve">          CURRENT ASSETS</t>
  </si>
  <si>
    <t>03</t>
  </si>
  <si>
    <t xml:space="preserve">               INVENTORIES</t>
  </si>
  <si>
    <t>1401</t>
  </si>
  <si>
    <t xml:space="preserve">                              INVENTORY - BALANCE</t>
  </si>
  <si>
    <t>1405</t>
  </si>
  <si>
    <t xml:space="preserve">                              INVENTORY - SOLD</t>
  </si>
  <si>
    <t>1410</t>
  </si>
  <si>
    <t xml:space="preserve">                              INVENTORY - PURCHASE</t>
  </si>
  <si>
    <t xml:space="preserve">               MISCELLANEOUS ASSETS</t>
  </si>
  <si>
    <t>1301</t>
  </si>
  <si>
    <t xml:space="preserve">                              TRIVIAL ASSETS</t>
  </si>
  <si>
    <t>1311</t>
  </si>
  <si>
    <t xml:space="preserve">                              EQUIPMENTS &amp; TOOLS IN USE</t>
  </si>
  <si>
    <t>1321</t>
  </si>
  <si>
    <t xml:space="preserve">                              CONSUMABLE STORES</t>
  </si>
  <si>
    <t>1352</t>
  </si>
  <si>
    <t xml:space="preserve">                              VAT INPUT</t>
  </si>
  <si>
    <t xml:space="preserve">               INVESTMENTS</t>
  </si>
  <si>
    <t>1391</t>
  </si>
  <si>
    <t xml:space="preserve">                              LONA REAL ESTATE B.S.C(c)</t>
  </si>
  <si>
    <t>1392</t>
  </si>
  <si>
    <t xml:space="preserve">                              LIGHT IND.LAND-A/C200016-CMH</t>
  </si>
  <si>
    <t>1393</t>
  </si>
  <si>
    <t xml:space="preserve">                              SARAAT TOWER W.L.L</t>
  </si>
  <si>
    <t>1394</t>
  </si>
  <si>
    <t xml:space="preserve">                              CROWN STEELMOULD-CSM</t>
  </si>
  <si>
    <t>1395</t>
  </si>
  <si>
    <t xml:space="preserve">                              SHK YARD- JENAN</t>
  </si>
  <si>
    <t xml:space="preserve">               ACCOUNTS RECEIVABLE</t>
  </si>
  <si>
    <t>IA</t>
  </si>
  <si>
    <t>1211</t>
  </si>
  <si>
    <t xml:space="preserve">                              TRADE DEBTORS A/C</t>
  </si>
  <si>
    <t>1225</t>
  </si>
  <si>
    <t xml:space="preserve">                              UNEXPIRED EXPS-VEH INSURANCE</t>
  </si>
  <si>
    <t>1226</t>
  </si>
  <si>
    <t xml:space="preserve">                              PRE-PAID EXPENSES</t>
  </si>
  <si>
    <t>1228</t>
  </si>
  <si>
    <t xml:space="preserve">                              UNEXPIRED EXPENSES - GEN</t>
  </si>
  <si>
    <t>1231</t>
  </si>
  <si>
    <t xml:space="preserve">                              SALARY ADVANCE/LOAN</t>
  </si>
  <si>
    <t>1232</t>
  </si>
  <si>
    <t>1233</t>
  </si>
  <si>
    <t>1234</t>
  </si>
  <si>
    <t>1235</t>
  </si>
  <si>
    <t>1236</t>
  </si>
  <si>
    <t>1238</t>
  </si>
  <si>
    <t>1240</t>
  </si>
  <si>
    <t>1241</t>
  </si>
  <si>
    <t>1242</t>
  </si>
  <si>
    <t>1243</t>
  </si>
  <si>
    <t>1244</t>
  </si>
  <si>
    <t>1245</t>
  </si>
  <si>
    <t>1247</t>
  </si>
  <si>
    <t>1248</t>
  </si>
  <si>
    <t>1246</t>
  </si>
  <si>
    <t xml:space="preserve">                              DEPOSITS - RECEIVABLE</t>
  </si>
  <si>
    <t xml:space="preserve">                              STAFF TRAINING FEE-BAHRAINIS</t>
  </si>
  <si>
    <t>1251</t>
  </si>
  <si>
    <t xml:space="preserve">                              BAHRAIN SCRAPMOULD CONTROL A/C</t>
  </si>
  <si>
    <t>1252</t>
  </si>
  <si>
    <t>1253</t>
  </si>
  <si>
    <t>1254</t>
  </si>
  <si>
    <t xml:space="preserve">                              SALARY/ADVANCE/LOAN</t>
  </si>
  <si>
    <t>1255</t>
  </si>
  <si>
    <t>1257</t>
  </si>
  <si>
    <t>1258</t>
  </si>
  <si>
    <t>1259</t>
  </si>
  <si>
    <t>1260</t>
  </si>
  <si>
    <t>1262</t>
  </si>
  <si>
    <t>1268</t>
  </si>
  <si>
    <t>1269</t>
  </si>
  <si>
    <t>1272</t>
  </si>
  <si>
    <t xml:space="preserve">                              SALARY/ADV/LOAN</t>
  </si>
  <si>
    <t>1273</t>
  </si>
  <si>
    <t>1274</t>
  </si>
  <si>
    <t>1275</t>
  </si>
  <si>
    <t xml:space="preserve">                              SUSPENSE A/C- KSA NF JV PROJ</t>
  </si>
  <si>
    <t xml:space="preserve">               CASH &amp; BANK BALANCES</t>
  </si>
  <si>
    <t>1101</t>
  </si>
  <si>
    <t xml:space="preserve">                              PETTY CASH IMPREST A/C</t>
  </si>
  <si>
    <t>1111</t>
  </si>
  <si>
    <t xml:space="preserve">                              CASH FOR PURCHASE</t>
  </si>
  <si>
    <t>1121</t>
  </si>
  <si>
    <t xml:space="preserve">                              AHLI UNITED BANK-USD</t>
  </si>
  <si>
    <t>1122</t>
  </si>
  <si>
    <t xml:space="preserve">                              AHLI UNITED BANK-BHD</t>
  </si>
  <si>
    <t>1124</t>
  </si>
  <si>
    <t xml:space="preserve">                              STANDARD CHARTERED BANK-USD</t>
  </si>
  <si>
    <t>1125</t>
  </si>
  <si>
    <t xml:space="preserve">                              STANDARD CHARTERED BANK-BHD</t>
  </si>
  <si>
    <t>1128</t>
  </si>
  <si>
    <t xml:space="preserve">                              STATE BANK OF INDIA CUR.A/C</t>
  </si>
  <si>
    <t>1129</t>
  </si>
  <si>
    <t xml:space="preserve">                              STATE BANK OF INDIA - CALL A/C</t>
  </si>
  <si>
    <t>1132</t>
  </si>
  <si>
    <t xml:space="preserve">                              BMI BANK-CURRENT A/C</t>
  </si>
  <si>
    <t>1133</t>
  </si>
  <si>
    <t xml:space="preserve">                              BMI BANK-USD A/C</t>
  </si>
  <si>
    <t>1156</t>
  </si>
  <si>
    <t xml:space="preserve">                              NATIONAL BANK OF BAHRAIN-BHD</t>
  </si>
  <si>
    <t>01</t>
  </si>
  <si>
    <t xml:space="preserve">     LIABILITIES</t>
  </si>
  <si>
    <t xml:space="preserve">          CURRENT LIABLITIES</t>
  </si>
  <si>
    <t xml:space="preserve">               BANK OVERDRAFT</t>
  </si>
  <si>
    <t>2100</t>
  </si>
  <si>
    <t xml:space="preserve">                              BMI- FACILITY(MACHINERY PURCHA</t>
  </si>
  <si>
    <t>LIABILITY</t>
  </si>
  <si>
    <t>2102</t>
  </si>
  <si>
    <t xml:space="preserve">                              AHLI UNITED BANK FACILITY A/C</t>
  </si>
  <si>
    <t>2106</t>
  </si>
  <si>
    <t xml:space="preserve">                              SCB LONGTERM FACILITY</t>
  </si>
  <si>
    <t>2107</t>
  </si>
  <si>
    <t xml:space="preserve">                              VAT OUTPUT</t>
  </si>
  <si>
    <t>2109</t>
  </si>
  <si>
    <t xml:space="preserve">                              BMI-SHORT TERM/REVOLVING FACIL</t>
  </si>
  <si>
    <t xml:space="preserve">               ISLAMIC FACILITY</t>
  </si>
  <si>
    <t xml:space="preserve">               ACCOUNTS PAYABLE</t>
  </si>
  <si>
    <t>2211</t>
  </si>
  <si>
    <t xml:space="preserve">                              TRADE CREDITORS</t>
  </si>
  <si>
    <t>2221</t>
  </si>
  <si>
    <t xml:space="preserve">                              ACCRUED EXPENSES</t>
  </si>
  <si>
    <t>2251</t>
  </si>
  <si>
    <t xml:space="preserve">                              PROVISION FOR INDEMNITY</t>
  </si>
  <si>
    <t>2252</t>
  </si>
  <si>
    <t xml:space="preserve">                              PROVISION FOR LEAVE SALARY</t>
  </si>
  <si>
    <t>2254</t>
  </si>
  <si>
    <t xml:space="preserve">                              PROVISION FOR PASSAGE</t>
  </si>
  <si>
    <t>2258</t>
  </si>
  <si>
    <t xml:space="preserve">                              PROVISION FOR BONUS</t>
  </si>
  <si>
    <t>2276</t>
  </si>
  <si>
    <t xml:space="preserve">                              PROVISION FOR  REP TO MACHINER</t>
  </si>
  <si>
    <t>2291</t>
  </si>
  <si>
    <t xml:space="preserve">                              PROVISION FOR DOUBTFUL DEBTS</t>
  </si>
  <si>
    <t>2301</t>
  </si>
  <si>
    <t xml:space="preserve">                              PURCHASE CONTROL A/C</t>
  </si>
  <si>
    <t>2311</t>
  </si>
  <si>
    <t xml:space="preserve">                              SUSPENSE A/C - GENERAL</t>
  </si>
  <si>
    <t>2315</t>
  </si>
  <si>
    <t xml:space="preserve">                              SUSPENSE A/C- BSM</t>
  </si>
  <si>
    <t>2317</t>
  </si>
  <si>
    <t xml:space="preserve">                              CSM -VENTURE-SUSPENSE A/C</t>
  </si>
  <si>
    <t xml:space="preserve">                              CSM VENTURE CONTROL A/C</t>
  </si>
  <si>
    <t>2321</t>
  </si>
  <si>
    <t xml:space="preserve">                              FIXED ASSETS SOLD A/C</t>
  </si>
  <si>
    <t>2331</t>
  </si>
  <si>
    <t xml:space="preserve">                              SUSPENSE A/C-AL SHARIF JETTY P</t>
  </si>
  <si>
    <t xml:space="preserve">               VEHICLE LOANS</t>
  </si>
  <si>
    <t>2351</t>
  </si>
  <si>
    <t xml:space="preserve">                              Y K ALMOAYYED-VEH LOAN-UD TRUK</t>
  </si>
  <si>
    <t xml:space="preserve">               TERM LOANS</t>
  </si>
  <si>
    <t xml:space="preserve">          EQUITY</t>
  </si>
  <si>
    <t>2501</t>
  </si>
  <si>
    <t xml:space="preserve">                              SHARE CAPITAL</t>
  </si>
  <si>
    <t>EQUITY</t>
  </si>
  <si>
    <t>2521</t>
  </si>
  <si>
    <t xml:space="preserve">                              RETAINED EARNINGS</t>
  </si>
  <si>
    <t>2421</t>
  </si>
  <si>
    <t xml:space="preserve">                              LEGAL RESERVE</t>
  </si>
  <si>
    <t>2423</t>
  </si>
  <si>
    <t xml:space="preserve">                              CURRENT A/C-FAREED Y K ALMOAYY</t>
  </si>
  <si>
    <t>2410</t>
  </si>
  <si>
    <t xml:space="preserve">                              SHARE HOLDERS' LOAN</t>
  </si>
  <si>
    <t>2411</t>
  </si>
  <si>
    <t xml:space="preserve">                              CURRENT A/C - KHALID AL SHARIF</t>
  </si>
  <si>
    <t>2412</t>
  </si>
  <si>
    <t xml:space="preserve">                              CURRENT A/C - GHASSAN E.A</t>
  </si>
  <si>
    <t>2413</t>
  </si>
  <si>
    <t xml:space="preserve">                              CURRENT A/C-OVERLAND TRADING</t>
  </si>
  <si>
    <t>2414</t>
  </si>
  <si>
    <t xml:space="preserve">                              CURRENT A/C - ALI AL SAAD</t>
  </si>
  <si>
    <t>2416</t>
  </si>
  <si>
    <t xml:space="preserve">                              CURRENT A/C-FAISAL AL MATROOK</t>
  </si>
  <si>
    <t>2417</t>
  </si>
  <si>
    <t xml:space="preserve">                              CURRENT A/C-JAMEEL AL MATROOK</t>
  </si>
  <si>
    <t>2418</t>
  </si>
  <si>
    <t xml:space="preserve">                              CURRENT A/C- UNITED COMMERCIAL</t>
  </si>
  <si>
    <t>2419</t>
  </si>
  <si>
    <t xml:space="preserve">                              CURRENT A/C-ABDUL RAHMAN ALSAA</t>
  </si>
  <si>
    <t xml:space="preserve">     INCOME</t>
  </si>
  <si>
    <t xml:space="preserve">          SALES</t>
  </si>
  <si>
    <t>3111</t>
  </si>
  <si>
    <t xml:space="preserve">                              EXPORT SALES</t>
  </si>
  <si>
    <t>INCOME</t>
  </si>
  <si>
    <t>3151</t>
  </si>
  <si>
    <t xml:space="preserve">                              LOCAL SALES</t>
  </si>
  <si>
    <t xml:space="preserve">          OTHER INCOME</t>
  </si>
  <si>
    <t>3211</t>
  </si>
  <si>
    <t xml:space="preserve">                              MISCELLANEOUS INCOME</t>
  </si>
  <si>
    <t>3210</t>
  </si>
  <si>
    <t xml:space="preserve">                              PROCESSING/SERVICE  INCOME</t>
  </si>
  <si>
    <t>3221</t>
  </si>
  <si>
    <t xml:space="preserve">                              INTEREST  RECEIVED</t>
  </si>
  <si>
    <t>3216</t>
  </si>
  <si>
    <t xml:space="preserve">                              DISCOUNT RECEIVED</t>
  </si>
  <si>
    <t>3223</t>
  </si>
  <si>
    <t xml:space="preserve">                              DIVIDEND ON INVEST - LIL(IBDAR</t>
  </si>
  <si>
    <t>3225</t>
  </si>
  <si>
    <t xml:space="preserve">                              PROFIT ON SALE OF ASSETS</t>
  </si>
  <si>
    <t>3227</t>
  </si>
  <si>
    <t xml:space="preserve">                              INCINERATION INCOME</t>
  </si>
  <si>
    <t>3228</t>
  </si>
  <si>
    <t xml:space="preserve">                              INCOME-TAQDEER SUPPORT</t>
  </si>
  <si>
    <t>3229</t>
  </si>
  <si>
    <t xml:space="preserve">                              TAMKEEN SUBSIDY INCOME</t>
  </si>
  <si>
    <t>3230</t>
  </si>
  <si>
    <t xml:space="preserve">                              DISMANTLING INCOME</t>
  </si>
  <si>
    <t xml:space="preserve">     EXPENSES</t>
  </si>
  <si>
    <t xml:space="preserve">          DIRECT EXPENSES</t>
  </si>
  <si>
    <t xml:space="preserve">               MATERIAL COST</t>
  </si>
  <si>
    <t>4001</t>
  </si>
  <si>
    <t xml:space="preserve">                              COST OF GOODS SOLD</t>
  </si>
  <si>
    <t>EXPENSE</t>
  </si>
  <si>
    <t>4002</t>
  </si>
  <si>
    <t xml:space="preserve">                              ALBA COKE PROJECT COST</t>
  </si>
  <si>
    <t>4021</t>
  </si>
  <si>
    <t xml:space="preserve">                              OTHER EXPENSE FOR PURCHASE</t>
  </si>
  <si>
    <t>4031</t>
  </si>
  <si>
    <t xml:space="preserve">                              OTHER MATERIAL COST</t>
  </si>
  <si>
    <t xml:space="preserve">               DIRECT LABOUR</t>
  </si>
  <si>
    <t>4101</t>
  </si>
  <si>
    <t xml:space="preserve">                              SALARIES &amp; WAGES -DIRECT</t>
  </si>
  <si>
    <t>4131</t>
  </si>
  <si>
    <t xml:space="preserve">                              LABOUR LAW BENEFITS -DIRECT</t>
  </si>
  <si>
    <t>4151</t>
  </si>
  <si>
    <t xml:space="preserve">                              OTHER LABOUR BENEFITS</t>
  </si>
  <si>
    <t xml:space="preserve">               DIRECT OVERHEADS</t>
  </si>
  <si>
    <t>4201</t>
  </si>
  <si>
    <t xml:space="preserve">                              FREIGHT</t>
  </si>
  <si>
    <t>4202</t>
  </si>
  <si>
    <t xml:space="preserve">                              HIRE CHARGES</t>
  </si>
  <si>
    <t>4204</t>
  </si>
  <si>
    <t xml:space="preserve">                              CLEARING &amp; FORWARDING</t>
  </si>
  <si>
    <t>4205</t>
  </si>
  <si>
    <t xml:space="preserve">                              OTHER EXPORT EXPENSES</t>
  </si>
  <si>
    <t>4221</t>
  </si>
  <si>
    <t xml:space="preserve">                              YARD MAINTANANCE</t>
  </si>
  <si>
    <t>4222</t>
  </si>
  <si>
    <t xml:space="preserve">                              MUNICIPAL FEE FOR WASTE DUMPIN</t>
  </si>
  <si>
    <t>4231</t>
  </si>
  <si>
    <t xml:space="preserve">                              GAS EXPENSES</t>
  </si>
  <si>
    <t>4241</t>
  </si>
  <si>
    <t xml:space="preserve">                              ELECTRICITY CHARGES</t>
  </si>
  <si>
    <t xml:space="preserve">               SELLING EXPENSES</t>
  </si>
  <si>
    <t>4311</t>
  </si>
  <si>
    <t xml:space="preserve">                              SALES COMMISSION</t>
  </si>
  <si>
    <t>4315</t>
  </si>
  <si>
    <t xml:space="preserve">                              CLAIMS FROM CUSTOMERS</t>
  </si>
  <si>
    <t xml:space="preserve">          GENERAL &amp; ADMINISTRATIVE</t>
  </si>
  <si>
    <t xml:space="preserve">               SALARIES &amp; ALLOWANCES</t>
  </si>
  <si>
    <t>4401</t>
  </si>
  <si>
    <t xml:space="preserve">                              SALARIES-ADMINISTRATIVE</t>
  </si>
  <si>
    <t>4411</t>
  </si>
  <si>
    <t xml:space="preserve">                              LABOURLAW BENEFITS-ADMIN</t>
  </si>
  <si>
    <t>4421</t>
  </si>
  <si>
    <t xml:space="preserve">                              EMMIGRATION EXPENSE</t>
  </si>
  <si>
    <t>4431</t>
  </si>
  <si>
    <t xml:space="preserve">                              SOCIAL INSURANCE</t>
  </si>
  <si>
    <t>4433</t>
  </si>
  <si>
    <t xml:space="preserve">                              HEALTHCARE FEE</t>
  </si>
  <si>
    <t>4441</t>
  </si>
  <si>
    <t xml:space="preserve">                              BONUS TO EMPLOYEES</t>
  </si>
  <si>
    <t>4451</t>
  </si>
  <si>
    <t xml:space="preserve">                              BENEFITS TO EMPLOYEES</t>
  </si>
  <si>
    <t xml:space="preserve">               ADMINISTRATIVE EXPENSES</t>
  </si>
  <si>
    <t>4501</t>
  </si>
  <si>
    <t xml:space="preserve">                              RENT</t>
  </si>
  <si>
    <t>4506</t>
  </si>
  <si>
    <t xml:space="preserve">                              MUNICIPAL CHARGES</t>
  </si>
  <si>
    <t>4511</t>
  </si>
  <si>
    <t>4512</t>
  </si>
  <si>
    <t xml:space="preserve">                              PRINTING &amp; STATIONERY</t>
  </si>
  <si>
    <t>4513</t>
  </si>
  <si>
    <t xml:space="preserve">                              BUSINESS SUBSPTN,PERIODICALS</t>
  </si>
  <si>
    <t>4514</t>
  </si>
  <si>
    <t xml:space="preserve">                              GENERAL OFFICE EXPENSES</t>
  </si>
  <si>
    <t>4521</t>
  </si>
  <si>
    <t xml:space="preserve">                              TELEPHONE CHARGES</t>
  </si>
  <si>
    <t>4531</t>
  </si>
  <si>
    <t xml:space="preserve">                              INSURANCE - GENERAL</t>
  </si>
  <si>
    <t>4532</t>
  </si>
  <si>
    <t xml:space="preserve">                              INSURANCE-VEHICLE</t>
  </si>
  <si>
    <t>4533</t>
  </si>
  <si>
    <t xml:space="preserve">                              TRAFFIC &amp;REGISTRATION EXP.</t>
  </si>
  <si>
    <t>4540</t>
  </si>
  <si>
    <t xml:space="preserve">                              PROFFESSIONAL FEE</t>
  </si>
  <si>
    <t>4541</t>
  </si>
  <si>
    <t xml:space="preserve">                              CR, LICENSE&amp; OTHER FEE ( CAL</t>
  </si>
  <si>
    <t>4542</t>
  </si>
  <si>
    <t xml:space="preserve">                              AUDIT FEE</t>
  </si>
  <si>
    <t>4543</t>
  </si>
  <si>
    <t xml:space="preserve">                              POSTAGE</t>
  </si>
  <si>
    <t>4547</t>
  </si>
  <si>
    <t xml:space="preserve">                              DIRECTORS'S FEE &amp;MEETING FEE</t>
  </si>
  <si>
    <t>4551</t>
  </si>
  <si>
    <t xml:space="preserve">                              ADVERTISEMENT</t>
  </si>
  <si>
    <t>4552</t>
  </si>
  <si>
    <t xml:space="preserve">                              closed-TRAVELLING EXPENSES</t>
  </si>
  <si>
    <t xml:space="preserve">                              TRAVELLING EXPENSES</t>
  </si>
  <si>
    <t>4553</t>
  </si>
  <si>
    <t xml:space="preserve">                              BUSINESS PROMOTION/PUBLIC RELA</t>
  </si>
  <si>
    <t>4555</t>
  </si>
  <si>
    <t xml:space="preserve">                              EXPENSE FOR QUALITY MANAGEMENT</t>
  </si>
  <si>
    <t>4561</t>
  </si>
  <si>
    <t xml:space="preserve">                              MISCELLANEOUS EXPENSES</t>
  </si>
  <si>
    <t xml:space="preserve">               REPAIRS &amp; MAINTENANCE</t>
  </si>
  <si>
    <t>4601</t>
  </si>
  <si>
    <t xml:space="preserve">                              FUEL FOR VEHICLES</t>
  </si>
  <si>
    <t>4602</t>
  </si>
  <si>
    <t xml:space="preserve">                              FUEL FOE MACHINERY</t>
  </si>
  <si>
    <t>4611</t>
  </si>
  <si>
    <t xml:space="preserve">                              REPAIRS BUILDING</t>
  </si>
  <si>
    <t>4621</t>
  </si>
  <si>
    <t xml:space="preserve">                              REPAIRS MACHINERY</t>
  </si>
  <si>
    <t>4631</t>
  </si>
  <si>
    <t xml:space="preserve">                              REPAIRS VEHICLES</t>
  </si>
  <si>
    <t>4646</t>
  </si>
  <si>
    <t xml:space="preserve">                              REPAIRS COMPUTER &amp; OFFICE EQPT</t>
  </si>
  <si>
    <t>4641</t>
  </si>
  <si>
    <t xml:space="preserve">                              REPAIRS FURNITURE</t>
  </si>
  <si>
    <t>4645</t>
  </si>
  <si>
    <t xml:space="preserve">                              TOOLS,CONSUMBL&amp;EQUIPS EXPENDED</t>
  </si>
  <si>
    <t xml:space="preserve">               OTHER OPERATING EXPENSES</t>
  </si>
  <si>
    <t>4653</t>
  </si>
  <si>
    <t xml:space="preserve">                              DOUBTFUL DEBTS W/OFF</t>
  </si>
  <si>
    <t>4661</t>
  </si>
  <si>
    <t xml:space="preserve">                              LOSS ON DISPOSAL OF ASSETS</t>
  </si>
  <si>
    <t>4671</t>
  </si>
  <si>
    <t xml:space="preserve">                              EXCHANGE ADJUSTMENTS</t>
  </si>
  <si>
    <t xml:space="preserve">          DEPRECIATION</t>
  </si>
  <si>
    <t>4701</t>
  </si>
  <si>
    <t xml:space="preserve">                              DEPRECIATION - BUILDINGS</t>
  </si>
  <si>
    <t>4702</t>
  </si>
  <si>
    <t xml:space="preserve">                              DEPRECIATION - P &amp; M</t>
  </si>
  <si>
    <t>4703</t>
  </si>
  <si>
    <t xml:space="preserve">                              DEPRECIATION - VEHICLES</t>
  </si>
  <si>
    <t>4704</t>
  </si>
  <si>
    <t xml:space="preserve">                              DEPRECIATION - F &amp; F</t>
  </si>
  <si>
    <t xml:space="preserve">          FINANCIAL CHARGES</t>
  </si>
  <si>
    <t>4811</t>
  </si>
  <si>
    <t xml:space="preserve">                              INTEREST ON OVERDRAFT</t>
  </si>
  <si>
    <t>4831</t>
  </si>
  <si>
    <t xml:space="preserve">                              INTEREST ON LOANS</t>
  </si>
  <si>
    <t>4841</t>
  </si>
  <si>
    <t xml:space="preserve">                              INTEREST ON INSTALLMENTS</t>
  </si>
  <si>
    <t>4851</t>
  </si>
  <si>
    <t xml:space="preserve">                              closed-BANK CHARGES - DOCS</t>
  </si>
  <si>
    <t xml:space="preserve">                              BANK CHARGES-DOCS</t>
  </si>
  <si>
    <t>4852</t>
  </si>
  <si>
    <t xml:space="preserve">                              closed-BANK CHARGES-GENERAL</t>
  </si>
  <si>
    <t xml:space="preserve">                              BANK CHARGES-GENERAL</t>
  </si>
  <si>
    <t>4861</t>
  </si>
  <si>
    <t xml:space="preserve">                              INTEREST ON SHAREHOLDERS' LOAN</t>
  </si>
  <si>
    <t>diff</t>
  </si>
  <si>
    <t>cumulative exps &amp; income( Year 2018&amp;19)</t>
  </si>
  <si>
    <t>so take income &amp; expenses from the attached p&amp;l sheet</t>
  </si>
  <si>
    <t xml:space="preserve"> FOR </t>
  </si>
  <si>
    <t xml:space="preserve"> Balance Sheet as at </t>
  </si>
  <si>
    <t>For the period from</t>
  </si>
  <si>
    <t xml:space="preserve">For the period from </t>
  </si>
  <si>
    <t xml:space="preserve"> Statement of Cash Flows for period from </t>
  </si>
  <si>
    <t>not done</t>
  </si>
  <si>
    <t xml:space="preserve">AS ON </t>
  </si>
  <si>
    <t xml:space="preserve">FOR </t>
  </si>
  <si>
    <t xml:space="preserve">TRADE DEBTORS AS ON </t>
  </si>
  <si>
    <t xml:space="preserve">SCHEDULE ANNEXED TO BALANCE SHEET AS AT </t>
  </si>
  <si>
    <t xml:space="preserve">As on </t>
  </si>
  <si>
    <t xml:space="preserve">Year </t>
  </si>
  <si>
    <t>Year</t>
  </si>
  <si>
    <t xml:space="preserve">LIST OF CREDITORS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</si>
</sst>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_(* #,##0.000_);_(* \(#,##0.000\);_(* &quot;-&quot;??_);_(@_)"/>
    <numFmt numFmtId="166" formatCode="_(* #,##0_);_(* \(#,##0\);_(* &quot;-&quot;??_);_(@_)"/>
    <numFmt numFmtId="167" formatCode="0.000"/>
    <numFmt numFmtId="168" formatCode="0.000_ ;[Red]\-0.000\ "/>
    <numFmt numFmtId="169" formatCode="#,##0.000_ ;[Red]\-#,##0.000\ "/>
    <numFmt numFmtId="170" formatCode="0.00000000000"/>
    <numFmt numFmtId="171" formatCode="_(* #,##0.0_);_(* \(#,##0.0\);_(* &quot;-&quot;??_);_(@_)"/>
    <numFmt numFmtId="172" formatCode="_-* #,##0_-;\-* #,##0_-;_-* &quot;-&quot;??_-;_-@_-"/>
    <numFmt numFmtId="173" formatCode="_(* #,##0.000_);_(* \(#,##0.000\);_(* &quot;-&quot;???_);_(@_)"/>
    <numFmt numFmtId="174" formatCode="#,##0.000_);\(#,##0.000\)"/>
  </numFmts>
  <fonts count="3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9"/>
      <name val="Lucida Console"/>
      <family val="3"/>
    </font>
    <font>
      <b/>
      <sz val="9"/>
      <name val="Lucida Console"/>
      <family val="3"/>
    </font>
    <font>
      <sz val="10"/>
      <name val="Lucida Console"/>
      <family val="3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u/>
      <sz val="10"/>
      <name val="Lucida Console"/>
      <family val="3"/>
    </font>
    <font>
      <sz val="8.5"/>
      <name val="Arial"/>
      <family val="2"/>
    </font>
    <font>
      <sz val="8.5"/>
      <name val="Arial"/>
      <family val="2"/>
      <charset val="178"/>
    </font>
    <font>
      <sz val="8"/>
      <name val="Lucida Console"/>
      <family val="3"/>
    </font>
    <font>
      <b/>
      <sz val="10"/>
      <name val="Lucida Console"/>
      <family val="3"/>
    </font>
    <font>
      <i/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indexed="8"/>
      <name val="Lucida Console"/>
      <family val="3"/>
    </font>
    <font>
      <sz val="10"/>
      <color indexed="8"/>
      <name val="Lucida Console"/>
      <family val="3"/>
    </font>
    <font>
      <b/>
      <sz val="9"/>
      <color indexed="8"/>
      <name val="Lucida Console"/>
      <family val="3"/>
    </font>
    <font>
      <sz val="9"/>
      <color indexed="8"/>
      <name val="Lucida Console"/>
      <family val="3"/>
    </font>
    <font>
      <sz val="10"/>
      <color rgb="FFFF0000"/>
      <name val="Lucida Console"/>
      <family val="3"/>
    </font>
    <font>
      <sz val="8.5"/>
      <name val="Lucida Console"/>
      <family val="3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2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4">
    <xf numFmtId="0" fontId="0" fillId="0" borderId="0" xfId="0"/>
    <xf numFmtId="0" fontId="1" fillId="0" borderId="0" xfId="0" applyFont="1"/>
    <xf numFmtId="166" fontId="0" fillId="0" borderId="0" xfId="1" applyNumberFormat="1" applyFont="1"/>
    <xf numFmtId="0" fontId="1" fillId="0" borderId="0" xfId="0" applyFont="1" applyAlignment="1">
      <alignment horizontal="center"/>
    </xf>
    <xf numFmtId="166" fontId="0" fillId="0" borderId="0" xfId="1" applyNumberFormat="1" applyFont="1" applyBorder="1"/>
    <xf numFmtId="0" fontId="3" fillId="0" borderId="0" xfId="0" applyFont="1"/>
    <xf numFmtId="166" fontId="1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horizontal="center"/>
    </xf>
    <xf numFmtId="166" fontId="0" fillId="0" borderId="2" xfId="0" applyNumberFormat="1" applyBorder="1"/>
    <xf numFmtId="0" fontId="0" fillId="0" borderId="0" xfId="0" applyBorder="1"/>
    <xf numFmtId="165" fontId="0" fillId="0" borderId="0" xfId="1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/>
    <xf numFmtId="166" fontId="6" fillId="0" borderId="4" xfId="1" applyNumberFormat="1" applyFont="1" applyBorder="1"/>
    <xf numFmtId="0" fontId="6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4" xfId="0" applyFont="1" applyBorder="1" applyAlignment="1">
      <alignment horizontal="center"/>
    </xf>
    <xf numFmtId="166" fontId="6" fillId="0" borderId="1" xfId="1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43" fontId="0" fillId="0" borderId="0" xfId="0" applyNumberFormat="1"/>
    <xf numFmtId="166" fontId="0" fillId="0" borderId="0" xfId="0" applyNumberFormat="1"/>
    <xf numFmtId="43" fontId="0" fillId="0" borderId="0" xfId="1" applyFont="1"/>
    <xf numFmtId="0" fontId="6" fillId="0" borderId="0" xfId="0" applyFont="1" applyFill="1" applyBorder="1"/>
    <xf numFmtId="0" fontId="6" fillId="0" borderId="0" xfId="0" applyFont="1" applyBorder="1"/>
    <xf numFmtId="0" fontId="6" fillId="0" borderId="0" xfId="0" applyFont="1" applyAlignment="1">
      <alignment horizontal="left"/>
    </xf>
    <xf numFmtId="166" fontId="0" fillId="0" borderId="1" xfId="1" applyNumberFormat="1" applyFont="1" applyBorder="1"/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6" fontId="0" fillId="2" borderId="1" xfId="1" applyNumberFormat="1" applyFont="1" applyFill="1" applyBorder="1" applyAlignment="1">
      <alignment horizontal="center"/>
    </xf>
    <xf numFmtId="0" fontId="7" fillId="0" borderId="1" xfId="0" applyFont="1" applyBorder="1"/>
    <xf numFmtId="0" fontId="6" fillId="0" borderId="0" xfId="0" applyFont="1" applyBorder="1" applyAlignment="1">
      <alignment horizontal="center"/>
    </xf>
    <xf numFmtId="166" fontId="10" fillId="0" borderId="4" xfId="1" applyNumberFormat="1" applyFont="1" applyBorder="1"/>
    <xf numFmtId="0" fontId="2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2" xfId="0" applyFont="1" applyBorder="1"/>
    <xf numFmtId="0" fontId="11" fillId="0" borderId="23" xfId="0" applyFont="1" applyBorder="1"/>
    <xf numFmtId="0" fontId="11" fillId="0" borderId="0" xfId="0" applyFont="1" applyBorder="1"/>
    <xf numFmtId="0" fontId="8" fillId="0" borderId="1" xfId="0" applyFont="1" applyBorder="1"/>
    <xf numFmtId="17" fontId="0" fillId="0" borderId="1" xfId="0" applyNumberFormat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6" fontId="0" fillId="2" borderId="5" xfId="1" applyNumberFormat="1" applyFont="1" applyFill="1" applyBorder="1" applyAlignment="1">
      <alignment horizontal="center"/>
    </xf>
    <xf numFmtId="166" fontId="0" fillId="0" borderId="11" xfId="1" applyNumberFormat="1" applyFont="1" applyBorder="1"/>
    <xf numFmtId="0" fontId="8" fillId="0" borderId="0" xfId="0" applyFont="1"/>
    <xf numFmtId="165" fontId="8" fillId="0" borderId="0" xfId="1" applyNumberFormat="1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4" fillId="0" borderId="0" xfId="0" applyFont="1"/>
    <xf numFmtId="0" fontId="16" fillId="0" borderId="0" xfId="0" applyFont="1"/>
    <xf numFmtId="166" fontId="0" fillId="0" borderId="10" xfId="1" applyNumberFormat="1" applyFont="1" applyBorder="1"/>
    <xf numFmtId="166" fontId="16" fillId="0" borderId="0" xfId="1" applyNumberFormat="1" applyFont="1"/>
    <xf numFmtId="166" fontId="6" fillId="0" borderId="0" xfId="1" applyNumberFormat="1" applyFont="1" applyBorder="1"/>
    <xf numFmtId="166" fontId="0" fillId="0" borderId="28" xfId="1" applyNumberFormat="1" applyFont="1" applyBorder="1"/>
    <xf numFmtId="0" fontId="2" fillId="0" borderId="4" xfId="0" applyFont="1" applyBorder="1"/>
    <xf numFmtId="0" fontId="11" fillId="0" borderId="30" xfId="0" applyFont="1" applyBorder="1" applyAlignment="1">
      <alignment horizontal="center"/>
    </xf>
    <xf numFmtId="0" fontId="11" fillId="0" borderId="21" xfId="0" applyFont="1" applyBorder="1"/>
    <xf numFmtId="0" fontId="17" fillId="0" borderId="0" xfId="0" applyFont="1"/>
    <xf numFmtId="166" fontId="17" fillId="0" borderId="0" xfId="1" applyNumberFormat="1" applyFont="1"/>
    <xf numFmtId="166" fontId="17" fillId="0" borderId="0" xfId="0" applyNumberFormat="1" applyFont="1"/>
    <xf numFmtId="0" fontId="19" fillId="0" borderId="0" xfId="0" applyFont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166" fontId="0" fillId="2" borderId="0" xfId="1" applyNumberFormat="1" applyFont="1" applyFill="1" applyBorder="1" applyAlignment="1">
      <alignment horizontal="center"/>
    </xf>
    <xf numFmtId="166" fontId="0" fillId="2" borderId="4" xfId="1" applyNumberFormat="1" applyFont="1" applyFill="1" applyBorder="1" applyAlignment="1">
      <alignment horizontal="center"/>
    </xf>
    <xf numFmtId="166" fontId="2" fillId="0" borderId="0" xfId="1" applyNumberFormat="1" applyFont="1"/>
    <xf numFmtId="171" fontId="0" fillId="0" borderId="0" xfId="0" applyNumberFormat="1"/>
    <xf numFmtId="0" fontId="2" fillId="0" borderId="0" xfId="0" applyFont="1" applyBorder="1"/>
    <xf numFmtId="165" fontId="0" fillId="0" borderId="0" xfId="0" applyNumberFormat="1"/>
    <xf numFmtId="166" fontId="2" fillId="0" borderId="0" xfId="0" applyNumberFormat="1" applyFont="1"/>
    <xf numFmtId="166" fontId="2" fillId="0" borderId="1" xfId="1" applyNumberFormat="1" applyFont="1" applyBorder="1"/>
    <xf numFmtId="166" fontId="16" fillId="0" borderId="11" xfId="1" applyNumberFormat="1" applyFont="1" applyBorder="1"/>
    <xf numFmtId="0" fontId="21" fillId="0" borderId="1" xfId="0" applyFont="1" applyBorder="1"/>
    <xf numFmtId="166" fontId="1" fillId="0" borderId="1" xfId="1" applyNumberFormat="1" applyFont="1" applyBorder="1"/>
    <xf numFmtId="0" fontId="2" fillId="0" borderId="1" xfId="0" applyFont="1" applyBorder="1" applyAlignment="1">
      <alignment horizontal="center"/>
    </xf>
    <xf numFmtId="166" fontId="2" fillId="2" borderId="5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5" fontId="11" fillId="0" borderId="0" xfId="1" applyNumberFormat="1" applyFont="1"/>
    <xf numFmtId="165" fontId="11" fillId="0" borderId="0" xfId="1" applyNumberFormat="1" applyFont="1" applyBorder="1"/>
    <xf numFmtId="165" fontId="11" fillId="0" borderId="18" xfId="1" applyNumberFormat="1" applyFont="1" applyBorder="1" applyAlignment="1">
      <alignment horizontal="center"/>
    </xf>
    <xf numFmtId="165" fontId="11" fillId="0" borderId="24" xfId="1" applyNumberFormat="1" applyFont="1" applyBorder="1"/>
    <xf numFmtId="165" fontId="11" fillId="0" borderId="31" xfId="1" applyNumberFormat="1" applyFont="1" applyBorder="1"/>
    <xf numFmtId="165" fontId="11" fillId="0" borderId="32" xfId="1" applyNumberFormat="1" applyFont="1" applyBorder="1"/>
    <xf numFmtId="0" fontId="2" fillId="0" borderId="0" xfId="0" applyFont="1" applyAlignment="1">
      <alignment horizontal="left"/>
    </xf>
    <xf numFmtId="2" fontId="0" fillId="0" borderId="0" xfId="0" applyNumberFormat="1"/>
    <xf numFmtId="0" fontId="0" fillId="3" borderId="0" xfId="0" applyFill="1"/>
    <xf numFmtId="0" fontId="19" fillId="3" borderId="1" xfId="0" applyFont="1" applyFill="1" applyBorder="1"/>
    <xf numFmtId="0" fontId="19" fillId="3" borderId="0" xfId="0" applyFont="1" applyFill="1"/>
    <xf numFmtId="166" fontId="0" fillId="0" borderId="28" xfId="0" applyNumberFormat="1" applyBorder="1"/>
    <xf numFmtId="166" fontId="16" fillId="0" borderId="0" xfId="1" applyNumberFormat="1" applyFont="1" applyBorder="1"/>
    <xf numFmtId="0" fontId="1" fillId="0" borderId="1" xfId="0" applyFont="1" applyBorder="1"/>
    <xf numFmtId="0" fontId="7" fillId="0" borderId="1" xfId="0" applyFont="1" applyFill="1" applyBorder="1"/>
    <xf numFmtId="165" fontId="12" fillId="0" borderId="15" xfId="1" applyNumberFormat="1" applyFont="1" applyBorder="1" applyAlignment="1">
      <alignment vertical="center"/>
    </xf>
    <xf numFmtId="0" fontId="6" fillId="3" borderId="1" xfId="0" applyFont="1" applyFill="1" applyBorder="1"/>
    <xf numFmtId="0" fontId="24" fillId="0" borderId="1" xfId="0" applyFont="1" applyBorder="1"/>
    <xf numFmtId="0" fontId="11" fillId="0" borderId="33" xfId="0" applyFont="1" applyBorder="1" applyAlignment="1">
      <alignment horizontal="center"/>
    </xf>
    <xf numFmtId="43" fontId="19" fillId="0" borderId="0" xfId="0" applyNumberFormat="1" applyFont="1"/>
    <xf numFmtId="0" fontId="2" fillId="0" borderId="1" xfId="0" applyFont="1" applyBorder="1"/>
    <xf numFmtId="172" fontId="0" fillId="0" borderId="11" xfId="1" applyNumberFormat="1" applyFont="1" applyBorder="1"/>
    <xf numFmtId="172" fontId="2" fillId="0" borderId="11" xfId="1" applyNumberFormat="1" applyFont="1" applyBorder="1"/>
    <xf numFmtId="166" fontId="0" fillId="0" borderId="0" xfId="1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/>
    <xf numFmtId="165" fontId="13" fillId="0" borderId="0" xfId="1" applyNumberFormat="1" applyFont="1"/>
    <xf numFmtId="0" fontId="12" fillId="0" borderId="14" xfId="0" applyFont="1" applyBorder="1" applyAlignment="1">
      <alignment horizontal="right" vertical="center"/>
    </xf>
    <xf numFmtId="0" fontId="13" fillId="0" borderId="1" xfId="0" applyFont="1" applyBorder="1"/>
    <xf numFmtId="0" fontId="18" fillId="0" borderId="1" xfId="0" applyFont="1" applyBorder="1"/>
    <xf numFmtId="0" fontId="13" fillId="0" borderId="7" xfId="0" applyFont="1" applyBorder="1" applyAlignment="1">
      <alignment horizontal="center"/>
    </xf>
    <xf numFmtId="165" fontId="13" fillId="0" borderId="37" xfId="1" applyNumberFormat="1" applyFont="1" applyBorder="1"/>
    <xf numFmtId="165" fontId="22" fillId="0" borderId="37" xfId="1" applyNumberFormat="1" applyFont="1" applyBorder="1"/>
    <xf numFmtId="165" fontId="12" fillId="0" borderId="38" xfId="1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13" xfId="0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12" fillId="0" borderId="15" xfId="0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165" fontId="26" fillId="0" borderId="0" xfId="1" applyNumberFormat="1" applyFont="1" applyAlignment="1">
      <alignment vertical="center"/>
    </xf>
    <xf numFmtId="167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0" fontId="25" fillId="0" borderId="0" xfId="0" applyNumberFormat="1" applyFont="1" applyAlignment="1">
      <alignment vertical="center"/>
    </xf>
    <xf numFmtId="0" fontId="27" fillId="0" borderId="13" xfId="0" applyFont="1" applyBorder="1" applyAlignment="1">
      <alignment horizontal="center" vertical="center"/>
    </xf>
    <xf numFmtId="165" fontId="11" fillId="0" borderId="0" xfId="1" applyNumberFormat="1" applyFont="1" applyAlignment="1">
      <alignment vertical="center"/>
    </xf>
    <xf numFmtId="170" fontId="26" fillId="0" borderId="0" xfId="0" applyNumberFormat="1" applyFont="1" applyAlignment="1">
      <alignment vertical="center"/>
    </xf>
    <xf numFmtId="0" fontId="28" fillId="0" borderId="0" xfId="0" applyFont="1" applyFill="1" applyBorder="1" applyAlignment="1">
      <alignment vertical="center"/>
    </xf>
    <xf numFmtId="165" fontId="13" fillId="0" borderId="0" xfId="1" applyNumberFormat="1" applyFont="1" applyAlignment="1">
      <alignment vertical="center"/>
    </xf>
    <xf numFmtId="0" fontId="30" fillId="0" borderId="1" xfId="0" applyFont="1" applyBorder="1"/>
    <xf numFmtId="169" fontId="11" fillId="0" borderId="12" xfId="1" applyNumberFormat="1" applyFont="1" applyFill="1" applyBorder="1" applyAlignment="1">
      <alignment vertical="center"/>
    </xf>
    <xf numFmtId="0" fontId="27" fillId="0" borderId="2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/>
    </xf>
    <xf numFmtId="0" fontId="27" fillId="0" borderId="26" xfId="0" applyFont="1" applyBorder="1" applyAlignment="1">
      <alignment horizontal="right" vertical="center"/>
    </xf>
    <xf numFmtId="0" fontId="13" fillId="0" borderId="8" xfId="0" applyFont="1" applyBorder="1" applyAlignment="1">
      <alignment horizontal="center"/>
    </xf>
    <xf numFmtId="0" fontId="13" fillId="0" borderId="29" xfId="0" applyFont="1" applyBorder="1"/>
    <xf numFmtId="165" fontId="22" fillId="0" borderId="39" xfId="1" applyNumberFormat="1" applyFont="1" applyBorder="1"/>
    <xf numFmtId="0" fontId="18" fillId="0" borderId="35" xfId="0" applyFont="1" applyBorder="1"/>
    <xf numFmtId="165" fontId="13" fillId="0" borderId="36" xfId="1" applyNumberFormat="1" applyFont="1" applyBorder="1"/>
    <xf numFmtId="0" fontId="13" fillId="0" borderId="6" xfId="0" applyFont="1" applyBorder="1" applyAlignment="1">
      <alignment horizontal="center"/>
    </xf>
    <xf numFmtId="167" fontId="26" fillId="0" borderId="0" xfId="0" applyNumberFormat="1" applyFont="1" applyAlignment="1">
      <alignment vertical="center"/>
    </xf>
    <xf numFmtId="164" fontId="26" fillId="0" borderId="0" xfId="0" applyNumberFormat="1" applyFont="1" applyAlignment="1">
      <alignment vertical="center"/>
    </xf>
    <xf numFmtId="165" fontId="6" fillId="0" borderId="0" xfId="1" applyNumberFormat="1" applyFont="1" applyBorder="1"/>
    <xf numFmtId="173" fontId="0" fillId="0" borderId="0" xfId="0" applyNumberFormat="1"/>
    <xf numFmtId="165" fontId="31" fillId="0" borderId="1" xfId="1" applyNumberFormat="1" applyFont="1" applyBorder="1"/>
    <xf numFmtId="165" fontId="13" fillId="3" borderId="37" xfId="1" applyNumberFormat="1" applyFont="1" applyFill="1" applyBorder="1"/>
    <xf numFmtId="0" fontId="13" fillId="0" borderId="40" xfId="0" applyFont="1" applyBorder="1"/>
    <xf numFmtId="167" fontId="13" fillId="0" borderId="40" xfId="0" applyNumberFormat="1" applyFont="1" applyBorder="1"/>
    <xf numFmtId="0" fontId="13" fillId="0" borderId="41" xfId="0" applyFont="1" applyBorder="1"/>
    <xf numFmtId="167" fontId="13" fillId="0" borderId="40" xfId="1" applyNumberFormat="1" applyFont="1" applyBorder="1"/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165" fontId="11" fillId="0" borderId="44" xfId="1" applyNumberFormat="1" applyFont="1" applyBorder="1" applyAlignment="1">
      <alignment horizontal="center" vertical="center"/>
    </xf>
    <xf numFmtId="167" fontId="13" fillId="0" borderId="41" xfId="1" applyNumberFormat="1" applyFont="1" applyBorder="1"/>
    <xf numFmtId="0" fontId="0" fillId="5" borderId="0" xfId="0" applyFill="1"/>
    <xf numFmtId="0" fontId="33" fillId="4" borderId="0" xfId="0" applyFont="1" applyFill="1"/>
    <xf numFmtId="0" fontId="0" fillId="4" borderId="0" xfId="0" applyFill="1"/>
    <xf numFmtId="0" fontId="2" fillId="3" borderId="1" xfId="0" applyFont="1" applyFill="1" applyBorder="1"/>
    <xf numFmtId="0" fontId="9" fillId="0" borderId="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1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34" fillId="4" borderId="0" xfId="0" applyFont="1" applyFill="1"/>
    <xf numFmtId="174" fontId="8" fillId="0" borderId="0" xfId="1" applyNumberFormat="1" applyFont="1" applyBorder="1"/>
    <xf numFmtId="174" fontId="10" fillId="0" borderId="3" xfId="1" applyNumberFormat="1" applyFont="1" applyBorder="1"/>
    <xf numFmtId="174" fontId="6" fillId="0" borderId="1" xfId="0" applyNumberFormat="1" applyFont="1" applyBorder="1" applyAlignment="1">
      <alignment horizontal="center"/>
    </xf>
    <xf numFmtId="174" fontId="10" fillId="0" borderId="5" xfId="1" applyNumberFormat="1" applyFont="1" applyBorder="1"/>
    <xf numFmtId="174" fontId="0" fillId="0" borderId="0" xfId="0" applyNumberFormat="1"/>
    <xf numFmtId="174" fontId="6" fillId="0" borderId="4" xfId="1" applyNumberFormat="1" applyFont="1" applyBorder="1"/>
    <xf numFmtId="174" fontId="8" fillId="0" borderId="4" xfId="1" applyNumberFormat="1" applyFont="1" applyBorder="1"/>
    <xf numFmtId="174" fontId="6" fillId="0" borderId="5" xfId="1" applyNumberFormat="1" applyFont="1" applyBorder="1"/>
    <xf numFmtId="174" fontId="6" fillId="3" borderId="1" xfId="0" applyNumberFormat="1" applyFont="1" applyFill="1" applyBorder="1" applyAlignment="1">
      <alignment horizontal="center"/>
    </xf>
    <xf numFmtId="174" fontId="6" fillId="3" borderId="4" xfId="1" applyNumberFormat="1" applyFont="1" applyFill="1" applyBorder="1"/>
    <xf numFmtId="174" fontId="6" fillId="0" borderId="4" xfId="0" applyNumberFormat="1" applyFont="1" applyBorder="1"/>
    <xf numFmtId="174" fontId="6" fillId="3" borderId="3" xfId="1" applyNumberFormat="1" applyFont="1" applyFill="1" applyBorder="1"/>
    <xf numFmtId="174" fontId="6" fillId="3" borderId="5" xfId="1" applyNumberFormat="1" applyFont="1" applyFill="1" applyBorder="1"/>
    <xf numFmtId="174" fontId="0" fillId="3" borderId="0" xfId="0" applyNumberFormat="1" applyFill="1"/>
    <xf numFmtId="174" fontId="2" fillId="3" borderId="1" xfId="1" applyNumberFormat="1" applyFont="1" applyFill="1" applyBorder="1"/>
    <xf numFmtId="174" fontId="2" fillId="0" borderId="1" xfId="1" applyNumberFormat="1" applyFont="1" applyBorder="1"/>
    <xf numFmtId="174" fontId="2" fillId="3" borderId="1" xfId="1" quotePrefix="1" applyNumberFormat="1" applyFont="1" applyFill="1" applyBorder="1" applyAlignment="1">
      <alignment horizontal="right"/>
    </xf>
    <xf numFmtId="174" fontId="2" fillId="0" borderId="1" xfId="1" quotePrefix="1" applyNumberFormat="1" applyFont="1" applyBorder="1" applyAlignment="1">
      <alignment horizontal="right"/>
    </xf>
    <xf numFmtId="174" fontId="2" fillId="3" borderId="1" xfId="1" quotePrefix="1" applyNumberFormat="1" applyFont="1" applyFill="1" applyBorder="1"/>
    <xf numFmtId="174" fontId="2" fillId="0" borderId="1" xfId="1" quotePrefix="1" applyNumberFormat="1" applyFont="1" applyBorder="1"/>
    <xf numFmtId="174" fontId="2" fillId="3" borderId="1" xfId="1" applyNumberFormat="1" applyFont="1" applyFill="1" applyBorder="1" applyAlignment="1">
      <alignment horizontal="right"/>
    </xf>
    <xf numFmtId="174" fontId="2" fillId="0" borderId="1" xfId="1" applyNumberFormat="1" applyFont="1" applyBorder="1" applyAlignment="1">
      <alignment horizontal="right"/>
    </xf>
    <xf numFmtId="174" fontId="0" fillId="0" borderId="1" xfId="1" applyNumberFormat="1" applyFont="1" applyBorder="1"/>
    <xf numFmtId="174" fontId="5" fillId="0" borderId="1" xfId="0" applyNumberFormat="1" applyFont="1" applyBorder="1" applyAlignment="1">
      <alignment horizontal="center"/>
    </xf>
    <xf numFmtId="174" fontId="32" fillId="0" borderId="1" xfId="1" applyNumberFormat="1" applyFont="1" applyBorder="1" applyAlignment="1">
      <alignment horizontal="right" vertical="center"/>
    </xf>
    <xf numFmtId="174" fontId="2" fillId="3" borderId="1" xfId="0" applyNumberFormat="1" applyFont="1" applyFill="1" applyBorder="1"/>
    <xf numFmtId="174" fontId="2" fillId="0" borderId="1" xfId="1" applyNumberFormat="1" applyFont="1" applyBorder="1" applyAlignment="1">
      <alignment horizontal="right" vertical="center"/>
    </xf>
    <xf numFmtId="174" fontId="2" fillId="0" borderId="1" xfId="0" applyNumberFormat="1" applyFont="1" applyBorder="1"/>
    <xf numFmtId="174" fontId="2" fillId="0" borderId="1" xfId="0" applyNumberFormat="1" applyFont="1" applyBorder="1" applyAlignment="1">
      <alignment horizontal="center"/>
    </xf>
    <xf numFmtId="174" fontId="2" fillId="3" borderId="1" xfId="0" applyNumberFormat="1" applyFont="1" applyFill="1" applyBorder="1" applyAlignment="1">
      <alignment horizontal="center"/>
    </xf>
    <xf numFmtId="174" fontId="2" fillId="0" borderId="1" xfId="1" applyNumberFormat="1" applyFont="1" applyFill="1" applyBorder="1"/>
    <xf numFmtId="174" fontId="19" fillId="0" borderId="1" xfId="1" applyNumberFormat="1" applyFont="1" applyBorder="1" applyAlignment="1">
      <alignment horizontal="center"/>
    </xf>
    <xf numFmtId="174" fontId="19" fillId="0" borderId="1" xfId="1" applyNumberFormat="1" applyFont="1" applyBorder="1"/>
    <xf numFmtId="174" fontId="19" fillId="3" borderId="1" xfId="1" applyNumberFormat="1" applyFont="1" applyFill="1" applyBorder="1"/>
    <xf numFmtId="174" fontId="6" fillId="0" borderId="1" xfId="1" applyNumberFormat="1" applyFont="1" applyBorder="1"/>
    <xf numFmtId="174" fontId="6" fillId="0" borderId="1" xfId="0" applyNumberFormat="1" applyFont="1" applyBorder="1"/>
    <xf numFmtId="174" fontId="19" fillId="0" borderId="1" xfId="0" applyNumberFormat="1" applyFont="1" applyBorder="1"/>
    <xf numFmtId="174" fontId="19" fillId="0" borderId="1" xfId="1" applyNumberFormat="1" applyFont="1" applyBorder="1" applyAlignment="1">
      <alignment horizontal="right"/>
    </xf>
    <xf numFmtId="174" fontId="19" fillId="3" borderId="1" xfId="1" applyNumberFormat="1" applyFont="1" applyFill="1" applyBorder="1" applyAlignment="1">
      <alignment horizontal="right"/>
    </xf>
    <xf numFmtId="174" fontId="2" fillId="0" borderId="1" xfId="1" applyNumberFormat="1" applyFont="1" applyBorder="1" applyAlignment="1">
      <alignment vertical="center"/>
    </xf>
    <xf numFmtId="174" fontId="8" fillId="0" borderId="0" xfId="1" applyNumberFormat="1" applyFont="1" applyAlignment="1">
      <alignment horizontal="center"/>
    </xf>
    <xf numFmtId="174" fontId="8" fillId="0" borderId="1" xfId="1" applyNumberFormat="1" applyFont="1" applyBorder="1" applyAlignment="1">
      <alignment horizontal="center"/>
    </xf>
    <xf numFmtId="174" fontId="8" fillId="0" borderId="1" xfId="1" applyNumberFormat="1" applyFont="1" applyBorder="1"/>
    <xf numFmtId="174" fontId="6" fillId="0" borderId="1" xfId="1" applyNumberFormat="1" applyFont="1" applyBorder="1" applyAlignment="1">
      <alignment horizontal="center"/>
    </xf>
    <xf numFmtId="174" fontId="8" fillId="0" borderId="0" xfId="1" applyNumberFormat="1" applyFont="1"/>
    <xf numFmtId="174" fontId="8" fillId="0" borderId="0" xfId="0" applyNumberFormat="1" applyFont="1"/>
    <xf numFmtId="174" fontId="0" fillId="0" borderId="0" xfId="1" applyNumberFormat="1" applyFont="1"/>
    <xf numFmtId="174" fontId="13" fillId="0" borderId="1" xfId="1" applyNumberFormat="1" applyFont="1" applyBorder="1"/>
    <xf numFmtId="174" fontId="13" fillId="0" borderId="1" xfId="0" applyNumberFormat="1" applyFont="1" applyBorder="1"/>
    <xf numFmtId="174" fontId="11" fillId="0" borderId="1" xfId="1" applyNumberFormat="1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34" fillId="0" borderId="1" xfId="0" applyFont="1" applyBorder="1"/>
    <xf numFmtId="174" fontId="34" fillId="3" borderId="1" xfId="0" applyNumberFormat="1" applyFont="1" applyFill="1" applyBorder="1" applyAlignment="1">
      <alignment horizontal="center"/>
    </xf>
    <xf numFmtId="174" fontId="34" fillId="0" borderId="1" xfId="0" applyNumberFormat="1" applyFont="1" applyBorder="1" applyAlignment="1">
      <alignment horizontal="center"/>
    </xf>
    <xf numFmtId="174" fontId="2" fillId="3" borderId="1" xfId="1" applyNumberFormat="1" applyFont="1" applyFill="1" applyBorder="1" applyAlignment="1">
      <alignment horizontal="center"/>
    </xf>
    <xf numFmtId="174" fontId="2" fillId="0" borderId="1" xfId="1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74" fontId="2" fillId="0" borderId="1" xfId="1" applyNumberFormat="1" applyFont="1" applyFill="1" applyBorder="1" applyAlignment="1">
      <alignment horizontal="center"/>
    </xf>
    <xf numFmtId="0" fontId="2" fillId="0" borderId="1" xfId="0" quotePrefix="1" applyFont="1" applyBorder="1"/>
    <xf numFmtId="0" fontId="2" fillId="3" borderId="1" xfId="0" applyFont="1" applyFill="1" applyBorder="1" applyAlignment="1">
      <alignment horizontal="center"/>
    </xf>
    <xf numFmtId="15" fontId="2" fillId="0" borderId="1" xfId="0" applyNumberFormat="1" applyFont="1" applyBorder="1"/>
    <xf numFmtId="3" fontId="2" fillId="0" borderId="1" xfId="0" applyNumberFormat="1" applyFont="1" applyBorder="1"/>
    <xf numFmtId="174" fontId="11" fillId="0" borderId="1" xfId="0" applyNumberFormat="1" applyFont="1" applyBorder="1" applyAlignment="1">
      <alignment vertical="center"/>
    </xf>
    <xf numFmtId="168" fontId="13" fillId="0" borderId="1" xfId="0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74" fontId="11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right"/>
    </xf>
    <xf numFmtId="174" fontId="13" fillId="3" borderId="1" xfId="1" applyNumberFormat="1" applyFont="1" applyFill="1" applyBorder="1"/>
    <xf numFmtId="0" fontId="11" fillId="0" borderId="1" xfId="0" applyFont="1" applyBorder="1" applyAlignment="1">
      <alignment horizontal="right" vertical="center"/>
    </xf>
    <xf numFmtId="174" fontId="11" fillId="0" borderId="1" xfId="1" applyNumberFormat="1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shrinkToFit="1"/>
    </xf>
    <xf numFmtId="174" fontId="11" fillId="0" borderId="1" xfId="1" applyNumberFormat="1" applyFont="1" applyFill="1" applyBorder="1" applyAlignment="1">
      <alignment horizontal="center" vertical="center"/>
    </xf>
    <xf numFmtId="174" fontId="13" fillId="0" borderId="1" xfId="1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 shrinkToFit="1"/>
    </xf>
    <xf numFmtId="174" fontId="13" fillId="0" borderId="1" xfId="1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85603339538165E-2"/>
          <c:y val="8.4415614442974199E-2"/>
          <c:w val="0.7311111111111116"/>
          <c:h val="0.848039215686308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GRAPH!$A$3:$B$3</c:f>
              <c:strCache>
                <c:ptCount val="2"/>
                <c:pt idx="0">
                  <c:v>1</c:v>
                </c:pt>
                <c:pt idx="1">
                  <c:v>SALES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GRAPH!$C$2:$N$2</c:f>
              <c:numCache>
                <c:formatCode>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GRAPH!$C$3:$N$3</c:f>
              <c:numCache>
                <c:formatCode>_(* #,##0_);_(* \(#,##0\);_(* "-"??_);_(@_)</c:formatCode>
                <c:ptCount val="12"/>
                <c:pt idx="0">
                  <c:v>344423.45299999998</c:v>
                </c:pt>
                <c:pt idx="1">
                  <c:v>688646.57</c:v>
                </c:pt>
                <c:pt idx="2">
                  <c:v>872097.424</c:v>
                </c:pt>
                <c:pt idx="3">
                  <c:v>705935.92300000007</c:v>
                </c:pt>
                <c:pt idx="4">
                  <c:v>750392.80200000003</c:v>
                </c:pt>
                <c:pt idx="5">
                  <c:v>691891.42499999993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C-4F66-B964-F3498DC7E34B}"/>
            </c:ext>
          </c:extLst>
        </c:ser>
        <c:ser>
          <c:idx val="1"/>
          <c:order val="1"/>
          <c:tx>
            <c:strRef>
              <c:f>GRAPH!$A$4:$B$4</c:f>
              <c:strCache>
                <c:ptCount val="2"/>
                <c:pt idx="0">
                  <c:v>2</c:v>
                </c:pt>
                <c:pt idx="1">
                  <c:v>GROSS PROFIT 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GRAPH!$C$2:$N$2</c:f>
              <c:numCache>
                <c:formatCode>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GRAPH!$C$4:$N$4</c:f>
              <c:numCache>
                <c:formatCode>_(* #,##0_);_(* \(#,##0\);_(* "-"??_);_(@_)</c:formatCode>
                <c:ptCount val="12"/>
                <c:pt idx="0">
                  <c:v>-23269.638000000021</c:v>
                </c:pt>
                <c:pt idx="1">
                  <c:v>15363.664000000004</c:v>
                </c:pt>
                <c:pt idx="2">
                  <c:v>103535.34299999999</c:v>
                </c:pt>
                <c:pt idx="3">
                  <c:v>103409.23900000009</c:v>
                </c:pt>
                <c:pt idx="4">
                  <c:v>131875.59399999998</c:v>
                </c:pt>
                <c:pt idx="5">
                  <c:v>149244.20899999992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C-4F66-B964-F3498DC7E34B}"/>
            </c:ext>
          </c:extLst>
        </c:ser>
        <c:ser>
          <c:idx val="2"/>
          <c:order val="2"/>
          <c:tx>
            <c:strRef>
              <c:f>GRAPH!$A$5:$B$5</c:f>
              <c:strCache>
                <c:ptCount val="2"/>
                <c:pt idx="0">
                  <c:v>3</c:v>
                </c:pt>
                <c:pt idx="1">
                  <c:v>NET PROFIT 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GRAPH!$C$2:$N$2</c:f>
              <c:numCache>
                <c:formatCode>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GRAPH!$C$5:$N$5</c:f>
              <c:numCache>
                <c:formatCode>_(* #,##0_);_(* \(#,##0\);_(* "-"??_);_(@_)</c:formatCode>
                <c:ptCount val="12"/>
                <c:pt idx="0">
                  <c:v>-73456.285000000018</c:v>
                </c:pt>
                <c:pt idx="1">
                  <c:v>3749.445999999999</c:v>
                </c:pt>
                <c:pt idx="2">
                  <c:v>138610.57800000001</c:v>
                </c:pt>
                <c:pt idx="3">
                  <c:v>43775.334000000083</c:v>
                </c:pt>
                <c:pt idx="4">
                  <c:v>66475.165999999997</c:v>
                </c:pt>
                <c:pt idx="5">
                  <c:v>130967.06999999993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C-4F66-B964-F3498DC7E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838656"/>
        <c:axId val="84843520"/>
      </c:barChart>
      <c:dateAx>
        <c:axId val="84838656"/>
        <c:scaling>
          <c:orientation val="minMax"/>
          <c:min val="43481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MONTH -&gt;</a:t>
                </a:r>
              </a:p>
            </c:rich>
          </c:tx>
          <c:layout>
            <c:manualLayout>
              <c:xMode val="edge"/>
              <c:yMode val="edge"/>
              <c:x val="0.42971536438079388"/>
              <c:y val="0.96073302419579365"/>
            </c:manualLayout>
          </c:layout>
          <c:overlay val="0"/>
          <c:spPr>
            <a:noFill/>
            <a:ln w="25400">
              <a:noFill/>
            </a:ln>
          </c:spPr>
        </c:title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48435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4843520"/>
        <c:scaling>
          <c:orientation val="minMax"/>
          <c:max val="1100000"/>
        </c:scaling>
        <c:delete val="0"/>
        <c:axPos val="l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Bahraini Dinars</a:t>
                </a:r>
              </a:p>
            </c:rich>
          </c:tx>
          <c:layout>
            <c:manualLayout>
              <c:xMode val="edge"/>
              <c:yMode val="edge"/>
              <c:x val="0"/>
              <c:y val="0.42408378398053392"/>
            </c:manualLayout>
          </c:layout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838656"/>
        <c:crossesAt val="1308"/>
        <c:crossBetween val="between"/>
        <c:majorUnit val="100000"/>
        <c:minorUnit val="4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7"/>
  <sheetViews>
    <sheetView workbookViewId="0">
      <selection activeCell="B16" sqref="B16"/>
    </sheetView>
  </sheetViews>
  <sheetFormatPr defaultRowHeight="12.75" x14ac:dyDescent="0.2"/>
  <cols>
    <col min="1" max="1" width="5.42578125" customWidth="1"/>
    <col min="2" max="2" width="36" customWidth="1"/>
    <col min="3" max="3" width="14.7109375" style="195" customWidth="1"/>
    <col min="4" max="4" width="14.7109375" style="186" customWidth="1"/>
    <col min="5" max="5" width="18.42578125" style="186" customWidth="1"/>
    <col min="6" max="7" width="18.42578125" customWidth="1"/>
    <col min="8" max="9" width="16.5703125" customWidth="1"/>
    <col min="10" max="10" width="15.5703125" style="41" customWidth="1"/>
    <col min="11" max="11" width="11" customWidth="1"/>
    <col min="12" max="12" width="15.140625" hidden="1" customWidth="1"/>
    <col min="13" max="14" width="12.42578125" hidden="1" customWidth="1"/>
    <col min="15" max="15" width="14.28515625" hidden="1" customWidth="1"/>
    <col min="16" max="17" width="9.140625" hidden="1" customWidth="1"/>
    <col min="18" max="18" width="17.5703125" hidden="1" customWidth="1"/>
    <col min="19" max="20" width="15.28515625" hidden="1" customWidth="1"/>
    <col min="21" max="21" width="16" hidden="1" customWidth="1"/>
    <col min="22" max="22" width="9.7109375" hidden="1" customWidth="1"/>
    <col min="23" max="23" width="13" hidden="1" customWidth="1"/>
    <col min="24" max="30" width="9.140625" hidden="1" customWidth="1"/>
    <col min="31" max="31" width="14.5703125" hidden="1" customWidth="1"/>
    <col min="32" max="32" width="14.28515625" hidden="1" customWidth="1"/>
    <col min="33" max="33" width="9.140625" hidden="1" customWidth="1"/>
    <col min="34" max="34" width="9.140625" customWidth="1"/>
  </cols>
  <sheetData>
    <row r="1" spans="1:40" s="59" customFormat="1" ht="11.25" x14ac:dyDescent="0.2">
      <c r="C1" s="182"/>
      <c r="D1" s="182"/>
      <c r="E1" s="182"/>
    </row>
    <row r="2" spans="1:40" s="59" customFormat="1" ht="11.25" x14ac:dyDescent="0.2">
      <c r="C2" s="182"/>
      <c r="D2" s="182"/>
      <c r="E2" s="182"/>
    </row>
    <row r="3" spans="1:40" s="59" customFormat="1" ht="11.25" x14ac:dyDescent="0.2">
      <c r="A3" s="59" t="s">
        <v>10</v>
      </c>
      <c r="C3" s="182"/>
      <c r="D3" s="182" t="s">
        <v>602</v>
      </c>
      <c r="E3" s="182"/>
    </row>
    <row r="4" spans="1:40" s="59" customFormat="1" ht="11.25" x14ac:dyDescent="0.2">
      <c r="C4" s="182"/>
      <c r="D4" s="182"/>
      <c r="E4" s="182"/>
    </row>
    <row r="5" spans="1:40" s="10" customFormat="1" ht="18" customHeight="1" x14ac:dyDescent="0.2">
      <c r="A5" s="15" t="s">
        <v>11</v>
      </c>
      <c r="B5" s="15" t="s">
        <v>12</v>
      </c>
      <c r="C5" s="190" t="s">
        <v>13</v>
      </c>
      <c r="D5" s="184" t="s">
        <v>14</v>
      </c>
      <c r="E5" s="184" t="s">
        <v>15</v>
      </c>
      <c r="F5" s="39"/>
      <c r="G5" s="39"/>
      <c r="H5"/>
      <c r="I5"/>
      <c r="J5" s="92"/>
    </row>
    <row r="6" spans="1:40" ht="18" customHeight="1" x14ac:dyDescent="0.2">
      <c r="A6" s="21"/>
      <c r="B6" s="26"/>
      <c r="C6" s="191"/>
      <c r="D6" s="182"/>
      <c r="E6" s="187"/>
      <c r="F6" s="66"/>
      <c r="G6" s="66"/>
      <c r="H6" s="85"/>
      <c r="I6" s="85"/>
      <c r="J6" s="81"/>
      <c r="K6" s="29"/>
      <c r="S6" s="100"/>
      <c r="T6" s="29"/>
      <c r="V6" s="71"/>
    </row>
    <row r="7" spans="1:40" ht="18" customHeight="1" x14ac:dyDescent="0.2">
      <c r="A7" s="21"/>
      <c r="B7" s="16"/>
      <c r="C7" s="191"/>
      <c r="D7" s="182"/>
      <c r="E7" s="187"/>
      <c r="F7" s="66"/>
      <c r="G7" s="66"/>
      <c r="H7" s="85"/>
      <c r="I7" s="85"/>
      <c r="J7" s="85"/>
      <c r="K7" s="29"/>
      <c r="P7" s="30"/>
      <c r="R7" s="28"/>
      <c r="S7" s="100"/>
      <c r="T7" s="29"/>
      <c r="W7" s="41"/>
    </row>
    <row r="8" spans="1:40" ht="18" customHeight="1" x14ac:dyDescent="0.2">
      <c r="A8" s="21"/>
      <c r="B8" s="16"/>
      <c r="C8" s="191"/>
      <c r="D8" s="182"/>
      <c r="E8" s="188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</row>
    <row r="9" spans="1:40" ht="18" customHeight="1" x14ac:dyDescent="0.2">
      <c r="A9" s="21"/>
      <c r="B9" s="16"/>
      <c r="C9" s="191"/>
      <c r="D9" s="182"/>
      <c r="E9" s="188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</row>
    <row r="10" spans="1:40" ht="18" customHeight="1" x14ac:dyDescent="0.2">
      <c r="A10" s="21"/>
      <c r="B10" s="26"/>
      <c r="C10" s="191"/>
      <c r="D10" s="182"/>
      <c r="E10" s="188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</row>
    <row r="11" spans="1:40" ht="18" customHeight="1" x14ac:dyDescent="0.2">
      <c r="A11" s="21"/>
      <c r="B11" s="16"/>
      <c r="C11" s="191"/>
      <c r="D11" s="182"/>
      <c r="E11" s="188"/>
      <c r="F11" s="59"/>
      <c r="G11" s="59" t="s">
        <v>210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</row>
    <row r="12" spans="1:40" ht="18" customHeight="1" x14ac:dyDescent="0.2">
      <c r="A12" s="21"/>
      <c r="B12" s="16"/>
      <c r="C12" s="191"/>
      <c r="D12" s="182"/>
      <c r="E12" s="188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</row>
    <row r="13" spans="1:40" ht="18" customHeight="1" x14ac:dyDescent="0.2">
      <c r="A13" s="21"/>
      <c r="B13" s="16"/>
      <c r="C13" s="191"/>
      <c r="D13" s="182"/>
      <c r="E13" s="188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</row>
    <row r="14" spans="1:40" ht="18" customHeight="1" x14ac:dyDescent="0.2">
      <c r="A14" s="21"/>
      <c r="B14" s="16"/>
      <c r="C14" s="191"/>
      <c r="D14" s="182"/>
      <c r="E14" s="188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</row>
    <row r="15" spans="1:40" ht="18" customHeight="1" x14ac:dyDescent="0.2">
      <c r="A15" s="21"/>
      <c r="B15" s="16"/>
      <c r="C15" s="191"/>
      <c r="D15" s="182"/>
      <c r="E15" s="188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</row>
    <row r="16" spans="1:40" ht="18" customHeight="1" x14ac:dyDescent="0.2">
      <c r="A16" s="21"/>
      <c r="B16" s="26"/>
      <c r="C16" s="191"/>
      <c r="D16" s="182"/>
      <c r="E16" s="188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</row>
    <row r="17" spans="1:40" ht="18" customHeight="1" x14ac:dyDescent="0.2">
      <c r="A17" s="16"/>
      <c r="B17" s="16"/>
      <c r="C17" s="192"/>
      <c r="D17" s="182"/>
      <c r="E17" s="188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</row>
    <row r="18" spans="1:40" ht="12.75" customHeight="1" x14ac:dyDescent="0.2">
      <c r="A18" s="16"/>
      <c r="B18" s="16"/>
      <c r="C18" s="191"/>
      <c r="D18" s="182"/>
      <c r="E18" s="18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</row>
    <row r="19" spans="1:40" ht="12.75" customHeight="1" x14ac:dyDescent="0.2">
      <c r="A19" s="21"/>
      <c r="B19" s="16"/>
      <c r="C19" s="191"/>
      <c r="D19" s="182"/>
      <c r="E19" s="18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</row>
    <row r="20" spans="1:40" ht="12.75" customHeight="1" x14ac:dyDescent="0.2">
      <c r="A20" s="21"/>
      <c r="B20" s="16"/>
      <c r="C20" s="191"/>
      <c r="D20" s="182"/>
      <c r="E20" s="18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</row>
    <row r="21" spans="1:40" ht="12.75" customHeight="1" x14ac:dyDescent="0.2">
      <c r="A21" s="21"/>
      <c r="B21" s="16"/>
      <c r="C21" s="191"/>
      <c r="D21" s="182"/>
      <c r="E21" s="18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</row>
    <row r="22" spans="1:40" ht="12.75" customHeight="1" x14ac:dyDescent="0.2">
      <c r="A22" s="21"/>
      <c r="B22" s="16"/>
      <c r="C22" s="191"/>
      <c r="D22" s="182"/>
      <c r="E22" s="187"/>
      <c r="F22" s="66"/>
      <c r="G22" s="66"/>
      <c r="H22" s="85"/>
      <c r="I22" s="85"/>
      <c r="J22" s="85"/>
      <c r="K22" s="29"/>
      <c r="S22" s="100"/>
      <c r="T22" s="29"/>
      <c r="W22" s="29"/>
    </row>
    <row r="23" spans="1:40" ht="12.75" customHeight="1" x14ac:dyDescent="0.2">
      <c r="A23" s="21"/>
      <c r="B23" s="16"/>
      <c r="C23" s="191"/>
      <c r="D23" s="182"/>
      <c r="E23" s="187"/>
      <c r="F23" s="66"/>
      <c r="G23" s="66"/>
      <c r="H23" s="85"/>
      <c r="I23" s="85"/>
      <c r="J23" s="85"/>
      <c r="K23" s="29"/>
      <c r="S23" s="100"/>
      <c r="T23" s="29"/>
      <c r="W23" s="29"/>
    </row>
    <row r="24" spans="1:40" ht="12.75" customHeight="1" x14ac:dyDescent="0.2">
      <c r="A24" s="21"/>
      <c r="B24" s="16"/>
      <c r="C24" s="191"/>
      <c r="D24" s="182"/>
      <c r="E24" s="187"/>
      <c r="F24" s="66"/>
      <c r="G24" s="66"/>
      <c r="H24" s="85"/>
      <c r="I24" s="85"/>
      <c r="J24" s="85"/>
      <c r="K24" s="29"/>
      <c r="S24" s="100"/>
      <c r="T24" s="29"/>
      <c r="W24" s="29"/>
    </row>
    <row r="25" spans="1:40" ht="12.75" customHeight="1" x14ac:dyDescent="0.2">
      <c r="A25" s="21"/>
      <c r="B25" s="16"/>
      <c r="C25" s="191"/>
      <c r="D25" s="182"/>
      <c r="E25" s="187"/>
      <c r="F25" s="66"/>
      <c r="G25" s="66"/>
      <c r="H25" s="85"/>
      <c r="I25" s="85"/>
      <c r="J25" s="85"/>
      <c r="K25" s="29"/>
      <c r="S25" s="100"/>
      <c r="T25" s="29"/>
      <c r="W25" s="29"/>
    </row>
    <row r="26" spans="1:40" ht="12.75" customHeight="1" x14ac:dyDescent="0.2">
      <c r="A26" s="21"/>
      <c r="B26" s="16"/>
      <c r="C26" s="191"/>
      <c r="D26" s="182"/>
      <c r="E26" s="187"/>
      <c r="F26" s="66"/>
      <c r="G26" s="66"/>
      <c r="H26" s="85"/>
      <c r="I26" s="85"/>
      <c r="J26" s="85"/>
      <c r="K26" s="29"/>
      <c r="S26" s="100"/>
      <c r="T26" s="29"/>
      <c r="W26" s="29"/>
    </row>
    <row r="27" spans="1:40" ht="12.75" customHeight="1" x14ac:dyDescent="0.2">
      <c r="A27" s="21"/>
      <c r="B27" s="16"/>
      <c r="C27" s="191"/>
      <c r="D27" s="182"/>
      <c r="E27" s="187"/>
      <c r="F27" s="66"/>
      <c r="G27" s="66"/>
      <c r="H27" s="85"/>
      <c r="I27" s="85"/>
      <c r="J27" s="85"/>
      <c r="K27" s="29"/>
      <c r="S27" s="100"/>
      <c r="T27" s="29"/>
      <c r="W27" s="29"/>
    </row>
    <row r="28" spans="1:40" ht="12.75" customHeight="1" x14ac:dyDescent="0.2">
      <c r="A28" s="21"/>
      <c r="B28" s="16"/>
      <c r="C28" s="191"/>
      <c r="D28" s="182"/>
      <c r="E28" s="187"/>
      <c r="F28" s="66"/>
      <c r="G28" s="66"/>
      <c r="H28" s="85"/>
      <c r="I28" s="85"/>
      <c r="J28" s="85"/>
      <c r="K28" s="29"/>
      <c r="S28" s="100"/>
      <c r="T28" s="29"/>
      <c r="W28" s="29"/>
    </row>
    <row r="29" spans="1:40" ht="12.75" customHeight="1" x14ac:dyDescent="0.2">
      <c r="A29" s="21"/>
      <c r="B29" s="16"/>
      <c r="C29" s="191"/>
      <c r="D29" s="182"/>
      <c r="E29" s="187"/>
      <c r="F29" s="66"/>
      <c r="G29" s="66"/>
      <c r="H29" s="85"/>
      <c r="I29" s="85"/>
      <c r="J29" s="85"/>
      <c r="K29" s="29"/>
      <c r="S29" s="100"/>
      <c r="T29" s="29"/>
      <c r="W29" s="29"/>
    </row>
    <row r="30" spans="1:40" ht="12.75" customHeight="1" x14ac:dyDescent="0.2">
      <c r="A30" s="21"/>
      <c r="B30" s="16"/>
      <c r="C30" s="191"/>
      <c r="D30" s="182"/>
      <c r="E30" s="187"/>
      <c r="F30" s="66"/>
      <c r="G30" s="66"/>
      <c r="H30" s="85"/>
      <c r="I30" s="85"/>
      <c r="J30" s="85"/>
      <c r="K30" s="29"/>
      <c r="S30" s="100"/>
      <c r="T30" s="29"/>
      <c r="W30" s="29"/>
    </row>
    <row r="31" spans="1:40" ht="12.75" customHeight="1" x14ac:dyDescent="0.2">
      <c r="A31" s="21"/>
      <c r="B31" s="16"/>
      <c r="C31" s="191"/>
      <c r="D31" s="182"/>
      <c r="E31" s="187"/>
      <c r="F31" s="66"/>
      <c r="G31" s="66"/>
      <c r="H31" s="85"/>
      <c r="I31" s="85"/>
      <c r="J31" s="85"/>
      <c r="K31" s="29"/>
      <c r="S31" s="100"/>
      <c r="T31" s="29"/>
      <c r="W31" s="29"/>
    </row>
    <row r="32" spans="1:40" ht="12.75" customHeight="1" x14ac:dyDescent="0.2">
      <c r="A32" s="21"/>
      <c r="B32" s="16"/>
      <c r="C32" s="191"/>
      <c r="D32" s="182"/>
      <c r="E32" s="187"/>
      <c r="F32" s="66"/>
      <c r="G32" s="66"/>
      <c r="H32" s="85"/>
      <c r="I32" s="85"/>
      <c r="J32" s="85"/>
      <c r="K32" s="29"/>
      <c r="S32" s="100"/>
      <c r="T32" s="29"/>
      <c r="W32" s="29"/>
    </row>
    <row r="33" spans="1:23" ht="12.75" customHeight="1" x14ac:dyDescent="0.2">
      <c r="A33" s="21"/>
      <c r="B33" s="16"/>
      <c r="C33" s="191"/>
      <c r="D33" s="182"/>
      <c r="E33" s="187"/>
      <c r="F33" s="66"/>
      <c r="G33" s="66"/>
      <c r="H33" s="85"/>
      <c r="I33" s="85"/>
      <c r="J33" s="85"/>
      <c r="K33" s="29"/>
      <c r="S33" s="100"/>
      <c r="T33" s="29"/>
      <c r="W33" s="29"/>
    </row>
    <row r="34" spans="1:23" ht="12.75" customHeight="1" x14ac:dyDescent="0.2">
      <c r="A34" s="21"/>
      <c r="B34" s="16"/>
      <c r="C34" s="191"/>
      <c r="D34" s="182"/>
      <c r="E34" s="189"/>
      <c r="F34" s="66"/>
      <c r="G34" s="66"/>
      <c r="H34" s="85"/>
      <c r="I34" s="85"/>
      <c r="J34" s="85"/>
      <c r="K34" s="29"/>
      <c r="S34" s="100"/>
      <c r="T34" s="29"/>
      <c r="W34" s="29"/>
    </row>
    <row r="35" spans="1:23" ht="12.75" customHeight="1" x14ac:dyDescent="0.2">
      <c r="A35" s="23"/>
      <c r="B35" s="24"/>
      <c r="C35" s="193"/>
      <c r="D35" s="183"/>
      <c r="E35" s="187"/>
      <c r="F35" s="66"/>
      <c r="G35" s="66"/>
      <c r="H35" s="85"/>
      <c r="I35" s="85"/>
      <c r="J35" s="85"/>
      <c r="K35" s="29"/>
      <c r="S35" s="100"/>
      <c r="T35" s="29"/>
      <c r="W35" s="29"/>
    </row>
    <row r="36" spans="1:23" ht="15" customHeight="1" x14ac:dyDescent="0.2">
      <c r="A36" s="25"/>
      <c r="B36" s="27"/>
      <c r="C36" s="194"/>
      <c r="D36" s="185"/>
      <c r="E36" s="189"/>
      <c r="F36" s="155"/>
      <c r="G36" s="155"/>
      <c r="H36" s="85"/>
      <c r="I36" s="85"/>
      <c r="J36" s="66"/>
      <c r="K36" s="29"/>
      <c r="S36" s="100"/>
      <c r="T36" s="29"/>
      <c r="W36" s="29"/>
    </row>
    <row r="37" spans="1:23" x14ac:dyDescent="0.2">
      <c r="C37" s="186"/>
      <c r="J37"/>
    </row>
    <row r="38" spans="1:23" x14ac:dyDescent="0.2">
      <c r="C38" s="186"/>
      <c r="J38"/>
    </row>
    <row r="39" spans="1:23" x14ac:dyDescent="0.2">
      <c r="A39" t="s">
        <v>24</v>
      </c>
      <c r="C39" s="186"/>
      <c r="J39"/>
    </row>
    <row r="40" spans="1:23" ht="18" customHeight="1" x14ac:dyDescent="0.2">
      <c r="A40" t="s">
        <v>62</v>
      </c>
      <c r="B40" t="s">
        <v>195</v>
      </c>
      <c r="C40" s="186"/>
      <c r="J40"/>
    </row>
    <row r="41" spans="1:23" ht="18" customHeight="1" x14ac:dyDescent="0.2">
      <c r="A41">
        <v>1</v>
      </c>
      <c r="B41" t="s">
        <v>196</v>
      </c>
      <c r="C41" s="186"/>
      <c r="J41"/>
    </row>
    <row r="42" spans="1:23" ht="18" customHeight="1" x14ac:dyDescent="0.2">
      <c r="B42" t="s">
        <v>211</v>
      </c>
      <c r="C42" s="186"/>
      <c r="J42"/>
    </row>
    <row r="43" spans="1:23" ht="18" customHeight="1" x14ac:dyDescent="0.2">
      <c r="A43">
        <v>2</v>
      </c>
      <c r="B43" t="s">
        <v>197</v>
      </c>
      <c r="C43" s="186"/>
      <c r="J43"/>
    </row>
    <row r="44" spans="1:23" ht="18" customHeight="1" x14ac:dyDescent="0.2">
      <c r="B44" t="s">
        <v>212</v>
      </c>
      <c r="C44" s="186"/>
      <c r="J44"/>
    </row>
    <row r="45" spans="1:23" ht="18" customHeight="1" x14ac:dyDescent="0.2">
      <c r="A45">
        <v>3</v>
      </c>
      <c r="B45" t="s">
        <v>29</v>
      </c>
      <c r="C45" s="186"/>
      <c r="J45"/>
    </row>
    <row r="46" spans="1:23" ht="18" customHeight="1" x14ac:dyDescent="0.2">
      <c r="B46" t="s">
        <v>213</v>
      </c>
      <c r="C46" s="186"/>
      <c r="J46"/>
    </row>
    <row r="47" spans="1:23" ht="18" customHeight="1" x14ac:dyDescent="0.2">
      <c r="A47">
        <v>4</v>
      </c>
      <c r="B47" t="s">
        <v>198</v>
      </c>
      <c r="C47" s="186"/>
      <c r="J47"/>
    </row>
    <row r="48" spans="1:23" ht="18" customHeight="1" x14ac:dyDescent="0.2">
      <c r="B48" t="s">
        <v>199</v>
      </c>
      <c r="C48" s="186"/>
      <c r="J48"/>
    </row>
    <row r="49" spans="1:10" ht="18" customHeight="1" x14ac:dyDescent="0.2">
      <c r="A49">
        <v>5</v>
      </c>
      <c r="B49" t="s">
        <v>51</v>
      </c>
      <c r="C49" s="186"/>
      <c r="J49"/>
    </row>
    <row r="50" spans="1:10" x14ac:dyDescent="0.2">
      <c r="B50" t="s">
        <v>214</v>
      </c>
      <c r="C50" s="186"/>
      <c r="J50"/>
    </row>
    <row r="51" spans="1:10" x14ac:dyDescent="0.2">
      <c r="B51" t="s">
        <v>215</v>
      </c>
      <c r="C51" s="186"/>
      <c r="J51"/>
    </row>
    <row r="52" spans="1:10" x14ac:dyDescent="0.2">
      <c r="A52">
        <v>7</v>
      </c>
      <c r="B52" t="s">
        <v>200</v>
      </c>
      <c r="C52" s="186"/>
      <c r="J52"/>
    </row>
    <row r="53" spans="1:10" x14ac:dyDescent="0.2">
      <c r="B53" t="s">
        <v>201</v>
      </c>
      <c r="C53" s="186"/>
      <c r="J53"/>
    </row>
    <row r="54" spans="1:10" x14ac:dyDescent="0.2">
      <c r="B54" t="s">
        <v>216</v>
      </c>
      <c r="C54" s="186"/>
      <c r="J54"/>
    </row>
    <row r="55" spans="1:10" x14ac:dyDescent="0.2">
      <c r="A55">
        <v>10</v>
      </c>
      <c r="B55" t="s">
        <v>202</v>
      </c>
      <c r="C55" s="186"/>
      <c r="J55"/>
    </row>
    <row r="56" spans="1:10" x14ac:dyDescent="0.2">
      <c r="B56" t="s">
        <v>203</v>
      </c>
      <c r="C56" s="186"/>
      <c r="J56"/>
    </row>
    <row r="57" spans="1:10" x14ac:dyDescent="0.2">
      <c r="C57" s="186"/>
      <c r="J57"/>
    </row>
    <row r="58" spans="1:10" x14ac:dyDescent="0.2">
      <c r="C58" s="186"/>
      <c r="D58" s="186" t="s">
        <v>96</v>
      </c>
      <c r="J58"/>
    </row>
    <row r="59" spans="1:10" x14ac:dyDescent="0.2">
      <c r="C59" s="186"/>
      <c r="J59"/>
    </row>
    <row r="60" spans="1:10" x14ac:dyDescent="0.2">
      <c r="C60" s="186"/>
      <c r="J60"/>
    </row>
    <row r="61" spans="1:10" x14ac:dyDescent="0.2">
      <c r="C61" s="186"/>
      <c r="J61"/>
    </row>
    <row r="62" spans="1:10" x14ac:dyDescent="0.2">
      <c r="C62" s="186"/>
      <c r="J62"/>
    </row>
    <row r="63" spans="1:10" x14ac:dyDescent="0.2">
      <c r="C63" s="186"/>
      <c r="J63"/>
    </row>
    <row r="64" spans="1:10" x14ac:dyDescent="0.2">
      <c r="C64" s="186"/>
      <c r="J64"/>
    </row>
    <row r="65" spans="3:10" x14ac:dyDescent="0.2">
      <c r="C65" s="186"/>
      <c r="J65"/>
    </row>
    <row r="66" spans="3:10" x14ac:dyDescent="0.2">
      <c r="C66" s="186"/>
      <c r="J66"/>
    </row>
    <row r="67" spans="3:10" x14ac:dyDescent="0.2">
      <c r="C67" s="186"/>
      <c r="J67"/>
    </row>
    <row r="68" spans="3:10" x14ac:dyDescent="0.2">
      <c r="C68" s="186"/>
      <c r="J68"/>
    </row>
    <row r="69" spans="3:10" x14ac:dyDescent="0.2">
      <c r="C69" s="186"/>
      <c r="J69"/>
    </row>
    <row r="70" spans="3:10" x14ac:dyDescent="0.2">
      <c r="C70" s="186"/>
      <c r="J70"/>
    </row>
    <row r="71" spans="3:10" x14ac:dyDescent="0.2">
      <c r="C71" s="186"/>
      <c r="J71"/>
    </row>
    <row r="72" spans="3:10" x14ac:dyDescent="0.2">
      <c r="C72" s="186"/>
      <c r="J72"/>
    </row>
    <row r="73" spans="3:10" x14ac:dyDescent="0.2">
      <c r="C73" s="186"/>
      <c r="J73"/>
    </row>
    <row r="74" spans="3:10" x14ac:dyDescent="0.2">
      <c r="C74" s="186"/>
      <c r="J74"/>
    </row>
    <row r="75" spans="3:10" x14ac:dyDescent="0.2">
      <c r="C75" s="186"/>
      <c r="J75"/>
    </row>
    <row r="76" spans="3:10" x14ac:dyDescent="0.2">
      <c r="C76" s="186"/>
      <c r="J76"/>
    </row>
    <row r="77" spans="3:10" x14ac:dyDescent="0.2">
      <c r="C77" s="186"/>
      <c r="J77"/>
    </row>
    <row r="78" spans="3:10" x14ac:dyDescent="0.2">
      <c r="C78" s="186"/>
      <c r="J78"/>
    </row>
    <row r="79" spans="3:10" x14ac:dyDescent="0.2">
      <c r="C79" s="186"/>
      <c r="J79"/>
    </row>
    <row r="80" spans="3:10" x14ac:dyDescent="0.2">
      <c r="C80" s="186"/>
      <c r="J80"/>
    </row>
    <row r="81" spans="3:10" x14ac:dyDescent="0.2">
      <c r="C81" s="186"/>
      <c r="J81"/>
    </row>
    <row r="82" spans="3:10" x14ac:dyDescent="0.2">
      <c r="C82" s="186"/>
      <c r="J82"/>
    </row>
    <row r="83" spans="3:10" x14ac:dyDescent="0.2">
      <c r="C83" s="186"/>
      <c r="J83"/>
    </row>
    <row r="84" spans="3:10" x14ac:dyDescent="0.2">
      <c r="C84" s="186"/>
      <c r="J84"/>
    </row>
    <row r="85" spans="3:10" x14ac:dyDescent="0.2">
      <c r="C85" s="186"/>
      <c r="J85"/>
    </row>
    <row r="86" spans="3:10" x14ac:dyDescent="0.2">
      <c r="C86" s="186"/>
      <c r="J86"/>
    </row>
    <row r="87" spans="3:10" x14ac:dyDescent="0.2">
      <c r="C87" s="186"/>
      <c r="J87"/>
    </row>
    <row r="88" spans="3:10" x14ac:dyDescent="0.2">
      <c r="C88" s="186"/>
      <c r="J88"/>
    </row>
    <row r="89" spans="3:10" x14ac:dyDescent="0.2">
      <c r="C89" s="186"/>
      <c r="J89"/>
    </row>
    <row r="90" spans="3:10" x14ac:dyDescent="0.2">
      <c r="C90" s="186"/>
      <c r="J90"/>
    </row>
    <row r="91" spans="3:10" x14ac:dyDescent="0.2">
      <c r="C91" s="186"/>
      <c r="J91"/>
    </row>
    <row r="92" spans="3:10" x14ac:dyDescent="0.2">
      <c r="C92" s="186"/>
      <c r="J92"/>
    </row>
    <row r="93" spans="3:10" x14ac:dyDescent="0.2">
      <c r="C93" s="186"/>
      <c r="J93"/>
    </row>
    <row r="94" spans="3:10" x14ac:dyDescent="0.2">
      <c r="C94" s="186"/>
      <c r="J94"/>
    </row>
    <row r="95" spans="3:10" x14ac:dyDescent="0.2">
      <c r="C95" s="186"/>
      <c r="J95"/>
    </row>
    <row r="96" spans="3:10" x14ac:dyDescent="0.2">
      <c r="C96" s="186"/>
      <c r="J96"/>
    </row>
    <row r="97" spans="3:10" x14ac:dyDescent="0.2">
      <c r="C97" s="186"/>
      <c r="J97"/>
    </row>
  </sheetData>
  <phoneticPr fontId="0" type="noConversion"/>
  <pageMargins left="0.75" right="0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0"/>
  <sheetViews>
    <sheetView topLeftCell="A85" zoomScale="90" workbookViewId="0">
      <selection activeCell="D97" sqref="D97"/>
    </sheetView>
  </sheetViews>
  <sheetFormatPr defaultRowHeight="16.5" customHeight="1" x14ac:dyDescent="0.2"/>
  <cols>
    <col min="1" max="1" width="52.85546875" style="113" customWidth="1"/>
    <col min="2" max="2" width="5.85546875" style="90" customWidth="1"/>
    <col min="3" max="3" width="23.28515625" style="196" customWidth="1"/>
    <col min="4" max="4" width="29.7109375" style="197" customWidth="1"/>
    <col min="7" max="7" width="21.42578125" customWidth="1"/>
    <col min="8" max="8" width="15.7109375" customWidth="1"/>
    <col min="9" max="9" width="19.7109375" customWidth="1"/>
  </cols>
  <sheetData>
    <row r="1" spans="1:4" ht="16.5" customHeight="1" x14ac:dyDescent="0.25">
      <c r="A1" s="235"/>
      <c r="B1" s="240"/>
      <c r="C1" s="236"/>
      <c r="D1" s="237"/>
    </row>
    <row r="2" spans="1:4" ht="16.5" customHeight="1" x14ac:dyDescent="0.2">
      <c r="A2" s="113" t="s">
        <v>603</v>
      </c>
    </row>
    <row r="3" spans="1:4" ht="16.5" customHeight="1" x14ac:dyDescent="0.2">
      <c r="C3" s="238"/>
      <c r="D3" s="239"/>
    </row>
    <row r="4" spans="1:4" ht="16.5" customHeight="1" x14ac:dyDescent="0.2">
      <c r="C4" s="238" t="s">
        <v>0</v>
      </c>
      <c r="D4" s="239" t="s">
        <v>1</v>
      </c>
    </row>
    <row r="5" spans="1:4" ht="16.5" customHeight="1" x14ac:dyDescent="0.2">
      <c r="C5" s="238" t="s">
        <v>2</v>
      </c>
      <c r="D5" s="239" t="s">
        <v>2</v>
      </c>
    </row>
    <row r="6" spans="1:4" ht="16.5" customHeight="1" x14ac:dyDescent="0.2">
      <c r="C6" s="238"/>
      <c r="D6" s="239"/>
    </row>
    <row r="7" spans="1:4" ht="16.5" customHeight="1" x14ac:dyDescent="0.2">
      <c r="C7" s="238"/>
      <c r="D7" s="239"/>
    </row>
    <row r="8" spans="1:4" ht="16.5" customHeight="1" x14ac:dyDescent="0.2">
      <c r="B8" s="241"/>
    </row>
    <row r="9" spans="1:4" ht="16.5" customHeight="1" x14ac:dyDescent="0.2">
      <c r="B9" s="242"/>
    </row>
    <row r="10" spans="1:4" ht="16.5" customHeight="1" x14ac:dyDescent="0.2">
      <c r="B10" s="242"/>
      <c r="D10" s="196"/>
    </row>
    <row r="11" spans="1:4" ht="16.5" customHeight="1" x14ac:dyDescent="0.2">
      <c r="B11" s="242"/>
      <c r="D11" s="196"/>
    </row>
    <row r="12" spans="1:4" ht="16.5" customHeight="1" x14ac:dyDescent="0.2">
      <c r="B12" s="242"/>
    </row>
    <row r="13" spans="1:4" ht="16.5" customHeight="1" x14ac:dyDescent="0.2">
      <c r="B13" s="242"/>
    </row>
    <row r="14" spans="1:4" ht="16.5" customHeight="1" x14ac:dyDescent="0.2">
      <c r="B14" s="242"/>
    </row>
    <row r="15" spans="1:4" ht="16.5" customHeight="1" x14ac:dyDescent="0.2">
      <c r="B15" s="242"/>
    </row>
    <row r="16" spans="1:4" ht="16.5" customHeight="1" x14ac:dyDescent="0.2">
      <c r="B16" s="242"/>
    </row>
    <row r="17" spans="2:7" ht="16.5" customHeight="1" x14ac:dyDescent="0.2">
      <c r="B17" s="242"/>
    </row>
    <row r="18" spans="2:7" ht="16.5" customHeight="1" x14ac:dyDescent="0.2">
      <c r="B18" s="242"/>
      <c r="G18" s="112"/>
    </row>
    <row r="19" spans="2:7" ht="16.5" customHeight="1" x14ac:dyDescent="0.2">
      <c r="B19" s="242"/>
    </row>
    <row r="20" spans="2:7" ht="16.5" customHeight="1" x14ac:dyDescent="0.2">
      <c r="B20" s="242"/>
    </row>
    <row r="21" spans="2:7" ht="16.5" customHeight="1" x14ac:dyDescent="0.2">
      <c r="B21" s="242"/>
    </row>
    <row r="22" spans="2:7" ht="16.5" customHeight="1" x14ac:dyDescent="0.2">
      <c r="B22" s="242"/>
    </row>
    <row r="23" spans="2:7" ht="16.5" customHeight="1" x14ac:dyDescent="0.2">
      <c r="B23" s="242"/>
    </row>
    <row r="24" spans="2:7" ht="16.5" customHeight="1" x14ac:dyDescent="0.2">
      <c r="B24" s="242"/>
    </row>
    <row r="25" spans="2:7" ht="16.5" customHeight="1" x14ac:dyDescent="0.2">
      <c r="B25" s="242"/>
    </row>
    <row r="26" spans="2:7" ht="16.5" customHeight="1" x14ac:dyDescent="0.2">
      <c r="B26" s="242"/>
    </row>
    <row r="27" spans="2:7" ht="16.5" customHeight="1" x14ac:dyDescent="0.2">
      <c r="B27" s="242"/>
    </row>
    <row r="28" spans="2:7" ht="16.5" customHeight="1" x14ac:dyDescent="0.2">
      <c r="B28" s="242"/>
    </row>
    <row r="29" spans="2:7" ht="16.5" customHeight="1" x14ac:dyDescent="0.2">
      <c r="B29" s="242"/>
    </row>
    <row r="30" spans="2:7" ht="16.5" customHeight="1" x14ac:dyDescent="0.2">
      <c r="B30" s="242"/>
      <c r="D30" s="196"/>
    </row>
    <row r="31" spans="2:7" ht="16.5" customHeight="1" x14ac:dyDescent="0.2">
      <c r="B31" s="242"/>
      <c r="C31" s="198"/>
      <c r="D31" s="199"/>
    </row>
    <row r="32" spans="2:7" ht="16.5" customHeight="1" x14ac:dyDescent="0.2">
      <c r="B32" s="242"/>
    </row>
    <row r="33" spans="2:5" ht="16.5" customHeight="1" x14ac:dyDescent="0.2">
      <c r="B33" s="242"/>
    </row>
    <row r="34" spans="2:5" ht="16.5" customHeight="1" x14ac:dyDescent="0.2">
      <c r="B34" s="242"/>
    </row>
    <row r="35" spans="2:5" ht="16.5" customHeight="1" x14ac:dyDescent="0.2">
      <c r="B35" s="242"/>
    </row>
    <row r="36" spans="2:5" ht="16.5" customHeight="1" x14ac:dyDescent="0.2">
      <c r="B36" s="242"/>
      <c r="C36" s="200"/>
      <c r="D36" s="201"/>
    </row>
    <row r="37" spans="2:5" ht="16.5" customHeight="1" x14ac:dyDescent="0.2">
      <c r="B37" s="242"/>
    </row>
    <row r="38" spans="2:5" ht="16.5" customHeight="1" x14ac:dyDescent="0.2">
      <c r="B38" s="242"/>
    </row>
    <row r="39" spans="2:5" ht="16.5" customHeight="1" x14ac:dyDescent="0.2">
      <c r="B39" s="242"/>
    </row>
    <row r="40" spans="2:5" ht="16.5" customHeight="1" x14ac:dyDescent="0.2">
      <c r="B40" s="242"/>
      <c r="D40" s="196"/>
    </row>
    <row r="41" spans="2:5" ht="16.5" customHeight="1" x14ac:dyDescent="0.2">
      <c r="B41" s="242"/>
    </row>
    <row r="42" spans="2:5" ht="16.5" customHeight="1" x14ac:dyDescent="0.2">
      <c r="B42" s="242"/>
      <c r="E42" s="41"/>
    </row>
    <row r="43" spans="2:5" ht="16.5" customHeight="1" x14ac:dyDescent="0.2">
      <c r="B43" s="242"/>
      <c r="C43" s="197"/>
    </row>
    <row r="44" spans="2:5" ht="16.5" customHeight="1" x14ac:dyDescent="0.2">
      <c r="B44" s="242"/>
      <c r="E44" s="41"/>
    </row>
    <row r="45" spans="2:5" ht="16.5" customHeight="1" x14ac:dyDescent="0.2">
      <c r="B45" s="242"/>
    </row>
    <row r="46" spans="2:5" ht="16.5" customHeight="1" x14ac:dyDescent="0.2">
      <c r="B46" s="242"/>
    </row>
    <row r="47" spans="2:5" ht="16.5" customHeight="1" x14ac:dyDescent="0.2">
      <c r="B47" s="242"/>
    </row>
    <row r="48" spans="2:5" ht="16.5" customHeight="1" x14ac:dyDescent="0.2">
      <c r="B48" s="242"/>
    </row>
    <row r="49" spans="1:4" ht="16.5" customHeight="1" x14ac:dyDescent="0.2">
      <c r="B49" s="241"/>
    </row>
    <row r="50" spans="1:4" ht="16.5" customHeight="1" x14ac:dyDescent="0.2">
      <c r="B50" s="241"/>
    </row>
    <row r="55" spans="1:4" ht="16.5" customHeight="1" x14ac:dyDescent="0.25">
      <c r="A55" s="235"/>
      <c r="B55" s="240"/>
    </row>
    <row r="56" spans="1:4" ht="16.5" customHeight="1" x14ac:dyDescent="0.2">
      <c r="A56" s="113" t="s">
        <v>3</v>
      </c>
    </row>
    <row r="57" spans="1:4" ht="16.5" customHeight="1" x14ac:dyDescent="0.2">
      <c r="A57" s="113" t="s">
        <v>604</v>
      </c>
    </row>
    <row r="59" spans="1:4" ht="16.5" customHeight="1" x14ac:dyDescent="0.2">
      <c r="C59" s="238" t="s">
        <v>0</v>
      </c>
      <c r="D59" s="239" t="s">
        <v>1</v>
      </c>
    </row>
    <row r="60" spans="1:4" ht="16.5" customHeight="1" x14ac:dyDescent="0.2">
      <c r="C60" s="238" t="s">
        <v>2</v>
      </c>
      <c r="D60" s="239" t="s">
        <v>2</v>
      </c>
    </row>
    <row r="62" spans="1:4" ht="16.5" customHeight="1" x14ac:dyDescent="0.2">
      <c r="B62" s="241"/>
    </row>
    <row r="63" spans="1:4" ht="16.5" customHeight="1" x14ac:dyDescent="0.2">
      <c r="B63" s="241"/>
    </row>
    <row r="64" spans="1:4" ht="16.5" customHeight="1" x14ac:dyDescent="0.2">
      <c r="B64" s="241"/>
      <c r="C64" s="202"/>
      <c r="D64" s="203"/>
    </row>
    <row r="65" spans="2:9" ht="16.5" customHeight="1" x14ac:dyDescent="0.2">
      <c r="B65" s="241"/>
    </row>
    <row r="66" spans="2:9" ht="16.5" customHeight="1" x14ac:dyDescent="0.2">
      <c r="B66" s="241"/>
      <c r="C66" s="202"/>
      <c r="D66" s="196"/>
      <c r="H66" s="29"/>
      <c r="I66" s="28"/>
    </row>
    <row r="67" spans="2:9" ht="16.5" customHeight="1" x14ac:dyDescent="0.2">
      <c r="B67" s="241"/>
      <c r="C67" s="202"/>
      <c r="H67" s="29"/>
      <c r="I67" s="28"/>
    </row>
    <row r="68" spans="2:9" ht="16.5" customHeight="1" x14ac:dyDescent="0.2">
      <c r="B68" s="241"/>
      <c r="H68" s="29"/>
    </row>
    <row r="69" spans="2:9" ht="16.5" customHeight="1" x14ac:dyDescent="0.2">
      <c r="B69" s="241"/>
      <c r="H69" s="29"/>
    </row>
    <row r="70" spans="2:9" ht="16.5" customHeight="1" x14ac:dyDescent="0.2">
      <c r="B70" s="241"/>
      <c r="H70" s="29"/>
    </row>
    <row r="71" spans="2:9" ht="16.5" customHeight="1" x14ac:dyDescent="0.2">
      <c r="B71" s="241"/>
      <c r="H71" s="29"/>
      <c r="I71" s="28"/>
    </row>
    <row r="72" spans="2:9" ht="16.5" customHeight="1" x14ac:dyDescent="0.2">
      <c r="B72" s="241"/>
    </row>
    <row r="73" spans="2:9" ht="16.5" customHeight="1" x14ac:dyDescent="0.2">
      <c r="B73" s="241"/>
    </row>
    <row r="74" spans="2:9" ht="16.5" customHeight="1" x14ac:dyDescent="0.2">
      <c r="B74" s="241"/>
      <c r="C74" s="202"/>
      <c r="D74" s="203"/>
      <c r="I74" s="28"/>
    </row>
    <row r="83" spans="1:4" ht="16.5" customHeight="1" x14ac:dyDescent="0.2">
      <c r="A83" s="86"/>
      <c r="B83" s="86"/>
      <c r="C83" s="197"/>
      <c r="D83" s="197" t="s">
        <v>89</v>
      </c>
    </row>
    <row r="84" spans="1:4" s="12" customFormat="1" ht="16.5" customHeight="1" x14ac:dyDescent="0.2">
      <c r="A84" s="113"/>
      <c r="B84" s="113"/>
      <c r="C84" s="209"/>
      <c r="D84" s="209"/>
    </row>
    <row r="85" spans="1:4" s="12" customFormat="1" ht="16.5" customHeight="1" x14ac:dyDescent="0.2">
      <c r="A85" s="113"/>
      <c r="B85" s="113"/>
      <c r="C85" s="209"/>
      <c r="D85" s="209"/>
    </row>
    <row r="86" spans="1:4" s="12" customFormat="1" ht="16.5" customHeight="1" x14ac:dyDescent="0.2">
      <c r="A86" s="113"/>
      <c r="B86" s="113"/>
      <c r="C86" s="209"/>
      <c r="D86" s="209"/>
    </row>
    <row r="87" spans="1:4" s="12" customFormat="1" ht="16.5" customHeight="1" x14ac:dyDescent="0.2">
      <c r="A87" s="113"/>
      <c r="B87" s="113"/>
      <c r="C87" s="209"/>
      <c r="D87" s="209"/>
    </row>
    <row r="88" spans="1:4" s="12" customFormat="1" ht="16.5" customHeight="1" x14ac:dyDescent="0.2">
      <c r="A88" s="113"/>
      <c r="B88" s="113"/>
      <c r="C88" s="209"/>
      <c r="D88" s="209"/>
    </row>
    <row r="89" spans="1:4" s="12" customFormat="1" ht="16.5" customHeight="1" x14ac:dyDescent="0.2">
      <c r="A89" s="113"/>
      <c r="B89" s="113"/>
      <c r="C89" s="209"/>
      <c r="D89" s="209"/>
    </row>
    <row r="90" spans="1:4" s="12" customFormat="1" ht="16.5" customHeight="1" x14ac:dyDescent="0.2">
      <c r="A90" s="113"/>
      <c r="B90" s="113"/>
      <c r="C90" s="209"/>
      <c r="D90" s="209"/>
    </row>
    <row r="91" spans="1:4" s="12" customFormat="1" ht="16.5" customHeight="1" x14ac:dyDescent="0.2">
      <c r="A91" s="113"/>
      <c r="B91" s="113"/>
      <c r="C91" s="209"/>
      <c r="D91" s="209"/>
    </row>
    <row r="92" spans="1:4" s="12" customFormat="1" ht="16.5" customHeight="1" x14ac:dyDescent="0.2">
      <c r="A92" s="113"/>
      <c r="B92" s="113"/>
      <c r="C92" s="209"/>
      <c r="D92" s="209"/>
    </row>
    <row r="93" spans="1:4" s="12" customFormat="1" ht="16.5" customHeight="1" x14ac:dyDescent="0.2">
      <c r="A93" s="113"/>
      <c r="B93" s="113"/>
      <c r="C93" s="209"/>
      <c r="D93" s="209"/>
    </row>
    <row r="94" spans="1:4" s="12" customFormat="1" ht="16.5" customHeight="1" x14ac:dyDescent="0.2">
      <c r="A94" s="113"/>
      <c r="B94" s="113"/>
      <c r="C94" s="209"/>
      <c r="D94" s="209"/>
    </row>
    <row r="95" spans="1:4" s="12" customFormat="1" ht="16.5" customHeight="1" x14ac:dyDescent="0.2">
      <c r="A95" s="113"/>
      <c r="B95" s="113"/>
      <c r="C95" s="209"/>
      <c r="D95" s="209"/>
    </row>
    <row r="96" spans="1:4" s="12" customFormat="1" ht="16.5" customHeight="1" x14ac:dyDescent="0.2">
      <c r="A96" s="113"/>
      <c r="B96" s="113"/>
      <c r="C96" s="209"/>
      <c r="D96" s="209"/>
    </row>
    <row r="97" spans="1:4" s="12" customFormat="1" ht="16.5" customHeight="1" x14ac:dyDescent="0.2">
      <c r="A97" s="113"/>
      <c r="B97" s="113"/>
      <c r="C97" s="209"/>
      <c r="D97" s="209"/>
    </row>
    <row r="98" spans="1:4" s="12" customFormat="1" ht="16.5" customHeight="1" x14ac:dyDescent="0.2">
      <c r="A98" s="113"/>
      <c r="B98" s="113"/>
      <c r="C98" s="209"/>
      <c r="D98" s="209"/>
    </row>
    <row r="99" spans="1:4" s="12" customFormat="1" ht="16.5" customHeight="1" x14ac:dyDescent="0.2">
      <c r="A99" s="113"/>
      <c r="B99" s="113"/>
      <c r="C99" s="209"/>
      <c r="D99" s="209"/>
    </row>
    <row r="100" spans="1:4" s="12" customFormat="1" ht="16.5" customHeight="1" x14ac:dyDescent="0.2">
      <c r="A100" s="113"/>
      <c r="B100" s="113"/>
      <c r="C100" s="209"/>
      <c r="D100" s="209"/>
    </row>
    <row r="101" spans="1:4" s="12" customFormat="1" ht="16.5" customHeight="1" x14ac:dyDescent="0.2">
      <c r="A101" s="113"/>
      <c r="B101" s="113"/>
      <c r="C101" s="209"/>
      <c r="D101" s="209"/>
    </row>
    <row r="102" spans="1:4" s="12" customFormat="1" ht="16.5" customHeight="1" x14ac:dyDescent="0.2">
      <c r="A102" s="113"/>
      <c r="B102" s="113"/>
      <c r="C102" s="209"/>
      <c r="D102" s="209"/>
    </row>
    <row r="103" spans="1:4" s="12" customFormat="1" ht="16.5" customHeight="1" x14ac:dyDescent="0.2">
      <c r="A103" s="113"/>
      <c r="B103" s="113"/>
      <c r="C103" s="209"/>
      <c r="D103" s="209"/>
    </row>
    <row r="104" spans="1:4" s="12" customFormat="1" ht="16.5" customHeight="1" x14ac:dyDescent="0.2">
      <c r="A104" s="113"/>
      <c r="B104" s="113"/>
      <c r="C104" s="209"/>
      <c r="D104" s="209"/>
    </row>
    <row r="105" spans="1:4" s="12" customFormat="1" ht="16.5" customHeight="1" x14ac:dyDescent="0.2">
      <c r="A105" s="113"/>
      <c r="B105" s="113"/>
      <c r="C105" s="209"/>
      <c r="D105" s="209"/>
    </row>
    <row r="106" spans="1:4" s="12" customFormat="1" ht="16.5" customHeight="1" x14ac:dyDescent="0.2">
      <c r="A106" s="113"/>
      <c r="B106" s="113"/>
      <c r="C106" s="209"/>
      <c r="D106" s="209"/>
    </row>
    <row r="107" spans="1:4" s="12" customFormat="1" ht="16.5" customHeight="1" x14ac:dyDescent="0.2">
      <c r="A107" s="113"/>
      <c r="B107" s="113"/>
      <c r="C107" s="209"/>
      <c r="D107" s="209"/>
    </row>
    <row r="108" spans="1:4" s="12" customFormat="1" ht="16.5" customHeight="1" x14ac:dyDescent="0.2">
      <c r="A108" s="113"/>
      <c r="B108" s="113"/>
      <c r="C108" s="209"/>
      <c r="D108" s="209"/>
    </row>
    <row r="109" spans="1:4" s="12" customFormat="1" ht="16.5" customHeight="1" x14ac:dyDescent="0.2">
      <c r="A109" s="113"/>
      <c r="B109" s="113"/>
      <c r="C109" s="209"/>
      <c r="D109" s="209"/>
    </row>
    <row r="110" spans="1:4" s="12" customFormat="1" ht="16.5" customHeight="1" x14ac:dyDescent="0.2">
      <c r="A110" s="113"/>
      <c r="B110" s="113"/>
      <c r="C110" s="209"/>
      <c r="D110" s="209"/>
    </row>
    <row r="111" spans="1:4" s="12" customFormat="1" ht="16.5" customHeight="1" x14ac:dyDescent="0.2">
      <c r="A111" s="113"/>
      <c r="B111" s="113"/>
      <c r="C111" s="209"/>
      <c r="D111" s="209"/>
    </row>
    <row r="112" spans="1:4" s="12" customFormat="1" ht="16.5" customHeight="1" x14ac:dyDescent="0.2">
      <c r="A112" s="113"/>
      <c r="B112" s="113"/>
      <c r="C112" s="209"/>
      <c r="D112" s="209"/>
    </row>
    <row r="113" spans="1:4" s="12" customFormat="1" ht="16.5" customHeight="1" x14ac:dyDescent="0.2">
      <c r="A113" s="113"/>
      <c r="B113" s="113"/>
      <c r="C113" s="209"/>
      <c r="D113" s="209"/>
    </row>
    <row r="114" spans="1:4" s="12" customFormat="1" ht="16.5" customHeight="1" x14ac:dyDescent="0.2">
      <c r="A114" s="113"/>
      <c r="B114" s="113"/>
      <c r="C114" s="209"/>
      <c r="D114" s="209"/>
    </row>
    <row r="115" spans="1:4" s="12" customFormat="1" ht="16.5" customHeight="1" x14ac:dyDescent="0.2">
      <c r="A115" s="113"/>
      <c r="B115" s="113"/>
      <c r="C115" s="209"/>
      <c r="D115" s="209"/>
    </row>
    <row r="116" spans="1:4" s="12" customFormat="1" ht="16.5" customHeight="1" x14ac:dyDescent="0.2">
      <c r="A116" s="113"/>
      <c r="B116" s="113"/>
      <c r="C116" s="209"/>
      <c r="D116" s="209"/>
    </row>
    <row r="117" spans="1:4" s="12" customFormat="1" ht="16.5" customHeight="1" x14ac:dyDescent="0.2">
      <c r="A117" s="113"/>
      <c r="B117" s="113"/>
      <c r="C117" s="209"/>
      <c r="D117" s="209"/>
    </row>
    <row r="118" spans="1:4" s="12" customFormat="1" ht="16.5" customHeight="1" x14ac:dyDescent="0.2">
      <c r="A118" s="113"/>
      <c r="B118" s="113"/>
      <c r="C118" s="209"/>
      <c r="D118" s="209"/>
    </row>
    <row r="119" spans="1:4" s="12" customFormat="1" ht="16.5" customHeight="1" x14ac:dyDescent="0.2">
      <c r="A119" s="113"/>
      <c r="B119" s="113"/>
      <c r="C119" s="209"/>
      <c r="D119" s="209"/>
    </row>
    <row r="120" spans="1:4" s="12" customFormat="1" ht="16.5" customHeight="1" x14ac:dyDescent="0.2">
      <c r="A120" s="113"/>
      <c r="B120" s="113"/>
      <c r="C120" s="209"/>
      <c r="D120" s="209"/>
    </row>
    <row r="121" spans="1:4" s="12" customFormat="1" ht="16.5" customHeight="1" x14ac:dyDescent="0.2">
      <c r="A121" s="113"/>
      <c r="B121" s="113"/>
      <c r="C121" s="209"/>
      <c r="D121" s="209"/>
    </row>
    <row r="122" spans="1:4" s="12" customFormat="1" ht="16.5" customHeight="1" x14ac:dyDescent="0.2">
      <c r="A122" s="113"/>
      <c r="B122" s="113"/>
      <c r="C122" s="209"/>
      <c r="D122" s="209"/>
    </row>
    <row r="123" spans="1:4" s="12" customFormat="1" ht="16.5" customHeight="1" x14ac:dyDescent="0.2">
      <c r="A123" s="113"/>
      <c r="B123" s="113"/>
      <c r="C123" s="209"/>
      <c r="D123" s="209"/>
    </row>
    <row r="124" spans="1:4" s="12" customFormat="1" ht="16.5" customHeight="1" x14ac:dyDescent="0.2">
      <c r="A124" s="113"/>
      <c r="B124" s="113"/>
      <c r="C124" s="209"/>
      <c r="D124" s="209"/>
    </row>
    <row r="125" spans="1:4" s="12" customFormat="1" ht="16.5" customHeight="1" x14ac:dyDescent="0.2">
      <c r="A125" s="113"/>
      <c r="B125" s="113"/>
      <c r="C125" s="209"/>
      <c r="D125" s="209"/>
    </row>
    <row r="126" spans="1:4" s="12" customFormat="1" ht="16.5" customHeight="1" x14ac:dyDescent="0.2">
      <c r="A126" s="113"/>
      <c r="B126" s="113"/>
      <c r="C126" s="209"/>
      <c r="D126" s="209"/>
    </row>
    <row r="127" spans="1:4" s="12" customFormat="1" ht="16.5" customHeight="1" x14ac:dyDescent="0.2">
      <c r="A127" s="113"/>
      <c r="B127" s="113"/>
      <c r="C127" s="209"/>
      <c r="D127" s="209"/>
    </row>
    <row r="128" spans="1:4" s="12" customFormat="1" ht="16.5" customHeight="1" x14ac:dyDescent="0.2">
      <c r="A128" s="113"/>
      <c r="B128" s="113"/>
      <c r="C128" s="209"/>
      <c r="D128" s="209"/>
    </row>
    <row r="129" spans="1:4" s="12" customFormat="1" ht="16.5" customHeight="1" x14ac:dyDescent="0.2">
      <c r="A129" s="113"/>
      <c r="B129" s="113"/>
      <c r="C129" s="209"/>
      <c r="D129" s="209"/>
    </row>
    <row r="130" spans="1:4" s="12" customFormat="1" ht="16.5" customHeight="1" x14ac:dyDescent="0.2">
      <c r="A130" s="113"/>
      <c r="B130" s="113"/>
      <c r="C130" s="209"/>
      <c r="D130" s="209"/>
    </row>
    <row r="131" spans="1:4" s="12" customFormat="1" ht="16.5" customHeight="1" x14ac:dyDescent="0.2">
      <c r="A131" s="113"/>
      <c r="B131" s="113"/>
      <c r="C131" s="209"/>
      <c r="D131" s="209"/>
    </row>
    <row r="132" spans="1:4" s="12" customFormat="1" ht="16.5" customHeight="1" x14ac:dyDescent="0.2">
      <c r="A132" s="113"/>
      <c r="B132" s="113"/>
      <c r="C132" s="209"/>
      <c r="D132" s="209"/>
    </row>
    <row r="133" spans="1:4" s="12" customFormat="1" ht="16.5" customHeight="1" x14ac:dyDescent="0.2">
      <c r="A133" s="113"/>
      <c r="B133" s="113"/>
      <c r="C133" s="209"/>
      <c r="D133" s="209"/>
    </row>
    <row r="134" spans="1:4" s="12" customFormat="1" ht="16.5" customHeight="1" x14ac:dyDescent="0.2">
      <c r="A134" s="113"/>
      <c r="B134" s="113"/>
      <c r="C134" s="209"/>
      <c r="D134" s="209"/>
    </row>
    <row r="135" spans="1:4" s="12" customFormat="1" ht="16.5" customHeight="1" x14ac:dyDescent="0.2">
      <c r="A135" s="113"/>
      <c r="B135" s="113"/>
      <c r="C135" s="209"/>
      <c r="D135" s="209"/>
    </row>
    <row r="136" spans="1:4" s="12" customFormat="1" ht="16.5" customHeight="1" x14ac:dyDescent="0.2">
      <c r="A136" s="113"/>
      <c r="B136" s="113"/>
      <c r="C136" s="209"/>
      <c r="D136" s="209"/>
    </row>
    <row r="137" spans="1:4" s="12" customFormat="1" ht="16.5" customHeight="1" x14ac:dyDescent="0.2">
      <c r="A137" s="113"/>
      <c r="B137" s="113"/>
      <c r="C137" s="209"/>
      <c r="D137" s="209"/>
    </row>
    <row r="138" spans="1:4" s="12" customFormat="1" ht="16.5" customHeight="1" x14ac:dyDescent="0.2">
      <c r="A138" s="113"/>
      <c r="B138" s="113"/>
      <c r="C138" s="209"/>
      <c r="D138" s="209"/>
    </row>
    <row r="139" spans="1:4" s="12" customFormat="1" ht="16.5" customHeight="1" x14ac:dyDescent="0.2">
      <c r="A139" s="113"/>
      <c r="B139" s="113"/>
      <c r="C139" s="209"/>
      <c r="D139" s="209"/>
    </row>
    <row r="140" spans="1:4" s="12" customFormat="1" ht="16.5" customHeight="1" x14ac:dyDescent="0.2">
      <c r="A140" s="113"/>
      <c r="B140" s="113"/>
      <c r="C140" s="209"/>
      <c r="D140" s="209"/>
    </row>
    <row r="141" spans="1:4" s="12" customFormat="1" ht="16.5" customHeight="1" x14ac:dyDescent="0.2">
      <c r="A141" s="113"/>
      <c r="B141" s="113"/>
      <c r="C141" s="209"/>
      <c r="D141" s="209"/>
    </row>
    <row r="142" spans="1:4" s="12" customFormat="1" ht="16.5" customHeight="1" x14ac:dyDescent="0.2">
      <c r="A142" s="113"/>
      <c r="B142" s="113"/>
      <c r="C142" s="209"/>
      <c r="D142" s="209"/>
    </row>
    <row r="143" spans="1:4" s="12" customFormat="1" ht="16.5" customHeight="1" x14ac:dyDescent="0.2">
      <c r="A143" s="113"/>
      <c r="B143" s="113"/>
      <c r="C143" s="209"/>
      <c r="D143" s="209"/>
    </row>
    <row r="144" spans="1:4" s="12" customFormat="1" ht="16.5" customHeight="1" x14ac:dyDescent="0.2">
      <c r="A144" s="113"/>
      <c r="B144" s="113"/>
      <c r="C144" s="209"/>
      <c r="D144" s="209"/>
    </row>
    <row r="145" spans="1:4" s="12" customFormat="1" ht="16.5" customHeight="1" x14ac:dyDescent="0.2">
      <c r="A145" s="113"/>
      <c r="B145" s="113"/>
      <c r="C145" s="209"/>
      <c r="D145" s="209"/>
    </row>
    <row r="146" spans="1:4" s="12" customFormat="1" ht="16.5" customHeight="1" x14ac:dyDescent="0.2">
      <c r="A146" s="113"/>
      <c r="B146" s="113"/>
      <c r="C146" s="209"/>
      <c r="D146" s="209"/>
    </row>
    <row r="147" spans="1:4" s="12" customFormat="1" ht="16.5" customHeight="1" x14ac:dyDescent="0.2">
      <c r="A147" s="113"/>
      <c r="B147" s="113"/>
      <c r="C147" s="209"/>
      <c r="D147" s="209"/>
    </row>
    <row r="148" spans="1:4" s="12" customFormat="1" ht="16.5" customHeight="1" x14ac:dyDescent="0.2">
      <c r="A148" s="113"/>
      <c r="B148" s="113"/>
      <c r="C148" s="209"/>
      <c r="D148" s="209"/>
    </row>
    <row r="149" spans="1:4" s="12" customFormat="1" ht="16.5" customHeight="1" x14ac:dyDescent="0.2">
      <c r="A149" s="113"/>
      <c r="B149" s="113"/>
      <c r="C149" s="209"/>
      <c r="D149" s="209"/>
    </row>
    <row r="150" spans="1:4" s="12" customFormat="1" ht="16.5" customHeight="1" x14ac:dyDescent="0.2">
      <c r="A150" s="113"/>
      <c r="B150" s="113"/>
      <c r="C150" s="209"/>
      <c r="D150" s="209"/>
    </row>
    <row r="151" spans="1:4" s="12" customFormat="1" ht="16.5" customHeight="1" x14ac:dyDescent="0.2">
      <c r="A151" s="113"/>
      <c r="B151" s="113"/>
      <c r="C151" s="209"/>
      <c r="D151" s="209"/>
    </row>
    <row r="152" spans="1:4" s="12" customFormat="1" ht="16.5" customHeight="1" x14ac:dyDescent="0.2">
      <c r="A152" s="113"/>
      <c r="B152" s="113"/>
      <c r="C152" s="209"/>
      <c r="D152" s="209"/>
    </row>
    <row r="153" spans="1:4" s="12" customFormat="1" ht="16.5" customHeight="1" x14ac:dyDescent="0.2">
      <c r="A153" s="113"/>
      <c r="B153" s="113"/>
      <c r="C153" s="209"/>
      <c r="D153" s="209"/>
    </row>
    <row r="154" spans="1:4" s="12" customFormat="1" ht="16.5" customHeight="1" x14ac:dyDescent="0.2">
      <c r="A154" s="113"/>
      <c r="B154" s="113"/>
      <c r="C154" s="209"/>
      <c r="D154" s="209"/>
    </row>
    <row r="155" spans="1:4" s="12" customFormat="1" ht="16.5" customHeight="1" x14ac:dyDescent="0.2">
      <c r="A155" s="113"/>
      <c r="B155" s="113"/>
      <c r="C155" s="209"/>
      <c r="D155" s="209"/>
    </row>
    <row r="156" spans="1:4" s="12" customFormat="1" ht="16.5" customHeight="1" x14ac:dyDescent="0.2">
      <c r="A156" s="113"/>
      <c r="B156" s="113"/>
      <c r="C156" s="209"/>
      <c r="D156" s="209"/>
    </row>
    <row r="157" spans="1:4" s="12" customFormat="1" ht="16.5" customHeight="1" x14ac:dyDescent="0.2">
      <c r="A157" s="113"/>
      <c r="B157" s="113"/>
      <c r="C157" s="209"/>
      <c r="D157" s="209"/>
    </row>
    <row r="158" spans="1:4" s="12" customFormat="1" ht="16.5" customHeight="1" x14ac:dyDescent="0.2">
      <c r="A158" s="113"/>
      <c r="B158" s="113"/>
      <c r="C158" s="209"/>
      <c r="D158" s="209"/>
    </row>
    <row r="159" spans="1:4" s="12" customFormat="1" ht="16.5" customHeight="1" x14ac:dyDescent="0.2">
      <c r="A159" s="113"/>
      <c r="B159" s="113"/>
      <c r="C159" s="209"/>
      <c r="D159" s="209"/>
    </row>
    <row r="160" spans="1:4" s="12" customFormat="1" ht="16.5" customHeight="1" x14ac:dyDescent="0.2">
      <c r="A160" s="113"/>
      <c r="B160" s="113"/>
      <c r="C160" s="209"/>
      <c r="D160" s="209"/>
    </row>
    <row r="161" spans="1:4" s="12" customFormat="1" ht="16.5" customHeight="1" x14ac:dyDescent="0.2">
      <c r="A161" s="113"/>
      <c r="B161" s="113"/>
      <c r="C161" s="209"/>
      <c r="D161" s="209"/>
    </row>
    <row r="162" spans="1:4" s="12" customFormat="1" ht="16.5" customHeight="1" x14ac:dyDescent="0.2">
      <c r="A162" s="113"/>
      <c r="B162" s="113"/>
      <c r="C162" s="209"/>
      <c r="D162" s="209"/>
    </row>
    <row r="163" spans="1:4" s="12" customFormat="1" ht="16.5" customHeight="1" x14ac:dyDescent="0.2">
      <c r="A163" s="113"/>
      <c r="B163" s="113"/>
      <c r="C163" s="209"/>
      <c r="D163" s="209"/>
    </row>
    <row r="164" spans="1:4" s="12" customFormat="1" ht="16.5" customHeight="1" x14ac:dyDescent="0.2">
      <c r="A164" s="113"/>
      <c r="B164" s="113"/>
      <c r="C164" s="209"/>
      <c r="D164" s="209"/>
    </row>
    <row r="165" spans="1:4" s="12" customFormat="1" ht="16.5" customHeight="1" x14ac:dyDescent="0.2">
      <c r="A165" s="113"/>
      <c r="B165" s="113"/>
      <c r="C165" s="209"/>
      <c r="D165" s="209"/>
    </row>
    <row r="166" spans="1:4" s="12" customFormat="1" ht="16.5" customHeight="1" x14ac:dyDescent="0.2">
      <c r="A166" s="113"/>
      <c r="B166" s="113"/>
      <c r="C166" s="209"/>
      <c r="D166" s="209"/>
    </row>
    <row r="167" spans="1:4" s="12" customFormat="1" ht="16.5" customHeight="1" x14ac:dyDescent="0.2">
      <c r="A167" s="113"/>
      <c r="B167" s="113"/>
      <c r="C167" s="209"/>
      <c r="D167" s="209"/>
    </row>
    <row r="168" spans="1:4" s="12" customFormat="1" ht="16.5" customHeight="1" x14ac:dyDescent="0.2">
      <c r="A168" s="113"/>
      <c r="B168" s="113"/>
      <c r="C168" s="209"/>
      <c r="D168" s="209"/>
    </row>
    <row r="169" spans="1:4" s="12" customFormat="1" ht="16.5" customHeight="1" x14ac:dyDescent="0.2">
      <c r="A169" s="113"/>
      <c r="B169" s="113"/>
      <c r="C169" s="209"/>
      <c r="D169" s="209"/>
    </row>
    <row r="170" spans="1:4" s="12" customFormat="1" ht="16.5" customHeight="1" x14ac:dyDescent="0.2">
      <c r="A170" s="113"/>
      <c r="B170" s="113"/>
      <c r="C170" s="209"/>
      <c r="D170" s="209"/>
    </row>
    <row r="171" spans="1:4" s="12" customFormat="1" ht="16.5" customHeight="1" x14ac:dyDescent="0.2">
      <c r="A171" s="113"/>
      <c r="B171" s="113"/>
      <c r="C171" s="209"/>
      <c r="D171" s="209"/>
    </row>
    <row r="172" spans="1:4" s="12" customFormat="1" ht="16.5" customHeight="1" x14ac:dyDescent="0.2">
      <c r="A172" s="113"/>
      <c r="B172" s="113"/>
      <c r="C172" s="209"/>
      <c r="D172" s="209"/>
    </row>
    <row r="173" spans="1:4" s="12" customFormat="1" ht="16.5" customHeight="1" x14ac:dyDescent="0.2">
      <c r="A173" s="113"/>
      <c r="B173" s="113"/>
      <c r="C173" s="209"/>
      <c r="D173" s="209"/>
    </row>
    <row r="174" spans="1:4" s="12" customFormat="1" ht="16.5" customHeight="1" x14ac:dyDescent="0.2">
      <c r="A174" s="113"/>
      <c r="B174" s="113"/>
      <c r="C174" s="209"/>
      <c r="D174" s="209"/>
    </row>
    <row r="175" spans="1:4" s="12" customFormat="1" ht="16.5" customHeight="1" x14ac:dyDescent="0.2">
      <c r="A175" s="113"/>
      <c r="B175" s="113"/>
      <c r="C175" s="209"/>
      <c r="D175" s="209"/>
    </row>
    <row r="176" spans="1:4" s="12" customFormat="1" ht="16.5" customHeight="1" x14ac:dyDescent="0.2">
      <c r="A176" s="113"/>
      <c r="B176" s="113"/>
      <c r="C176" s="209"/>
      <c r="D176" s="209"/>
    </row>
    <row r="177" spans="1:4" s="12" customFormat="1" ht="16.5" customHeight="1" x14ac:dyDescent="0.2">
      <c r="A177" s="113"/>
      <c r="B177" s="113"/>
      <c r="C177" s="209"/>
      <c r="D177" s="209"/>
    </row>
    <row r="178" spans="1:4" s="12" customFormat="1" ht="16.5" customHeight="1" x14ac:dyDescent="0.2">
      <c r="A178" s="113"/>
      <c r="B178" s="113"/>
      <c r="C178" s="209"/>
      <c r="D178" s="209"/>
    </row>
    <row r="179" spans="1:4" s="12" customFormat="1" ht="16.5" customHeight="1" x14ac:dyDescent="0.2">
      <c r="A179" s="113"/>
      <c r="B179" s="113"/>
      <c r="C179" s="209"/>
      <c r="D179" s="209"/>
    </row>
    <row r="180" spans="1:4" s="12" customFormat="1" ht="16.5" customHeight="1" x14ac:dyDescent="0.2">
      <c r="A180" s="113"/>
      <c r="B180" s="113"/>
      <c r="C180" s="209"/>
      <c r="D180" s="209"/>
    </row>
    <row r="181" spans="1:4" s="12" customFormat="1" ht="16.5" customHeight="1" x14ac:dyDescent="0.2">
      <c r="A181" s="113"/>
      <c r="B181" s="113"/>
      <c r="C181" s="209"/>
      <c r="D181" s="209"/>
    </row>
    <row r="182" spans="1:4" s="12" customFormat="1" ht="16.5" customHeight="1" x14ac:dyDescent="0.2">
      <c r="A182" s="113"/>
      <c r="B182" s="113"/>
      <c r="C182" s="209"/>
      <c r="D182" s="209"/>
    </row>
    <row r="183" spans="1:4" s="12" customFormat="1" ht="16.5" customHeight="1" x14ac:dyDescent="0.2">
      <c r="A183" s="113"/>
      <c r="B183" s="113"/>
      <c r="C183" s="209"/>
      <c r="D183" s="209"/>
    </row>
    <row r="184" spans="1:4" s="12" customFormat="1" ht="16.5" customHeight="1" x14ac:dyDescent="0.2">
      <c r="A184" s="113"/>
      <c r="B184" s="113"/>
      <c r="C184" s="209"/>
      <c r="D184" s="209"/>
    </row>
    <row r="185" spans="1:4" s="12" customFormat="1" ht="16.5" customHeight="1" x14ac:dyDescent="0.2">
      <c r="A185" s="113"/>
      <c r="B185" s="113"/>
      <c r="C185" s="209"/>
      <c r="D185" s="209"/>
    </row>
    <row r="186" spans="1:4" s="12" customFormat="1" ht="16.5" customHeight="1" x14ac:dyDescent="0.2">
      <c r="A186" s="113"/>
      <c r="B186" s="113"/>
      <c r="C186" s="209"/>
      <c r="D186" s="209"/>
    </row>
    <row r="187" spans="1:4" s="12" customFormat="1" ht="16.5" customHeight="1" x14ac:dyDescent="0.2">
      <c r="A187" s="113"/>
      <c r="B187" s="113"/>
      <c r="C187" s="209"/>
      <c r="D187" s="209"/>
    </row>
    <row r="188" spans="1:4" s="12" customFormat="1" ht="16.5" customHeight="1" x14ac:dyDescent="0.2">
      <c r="A188" s="113"/>
      <c r="B188" s="113"/>
      <c r="C188" s="209"/>
      <c r="D188" s="209"/>
    </row>
    <row r="189" spans="1:4" s="12" customFormat="1" ht="16.5" customHeight="1" x14ac:dyDescent="0.2">
      <c r="A189" s="113"/>
      <c r="B189" s="113"/>
      <c r="C189" s="209"/>
      <c r="D189" s="209"/>
    </row>
    <row r="190" spans="1:4" s="12" customFormat="1" ht="16.5" customHeight="1" x14ac:dyDescent="0.2">
      <c r="A190" s="113"/>
      <c r="B190" s="113"/>
      <c r="C190" s="209"/>
      <c r="D190" s="209"/>
    </row>
    <row r="191" spans="1:4" s="12" customFormat="1" ht="16.5" customHeight="1" x14ac:dyDescent="0.2">
      <c r="A191" s="113"/>
      <c r="B191" s="113"/>
      <c r="C191" s="209"/>
      <c r="D191" s="209"/>
    </row>
    <row r="192" spans="1:4" s="12" customFormat="1" ht="16.5" customHeight="1" x14ac:dyDescent="0.2">
      <c r="A192" s="113"/>
      <c r="B192" s="113"/>
      <c r="C192" s="209"/>
      <c r="D192" s="209"/>
    </row>
    <row r="193" spans="1:4" s="12" customFormat="1" ht="16.5" customHeight="1" x14ac:dyDescent="0.2">
      <c r="A193" s="113"/>
      <c r="B193" s="113"/>
      <c r="C193" s="209"/>
      <c r="D193" s="209"/>
    </row>
    <row r="194" spans="1:4" s="12" customFormat="1" ht="16.5" customHeight="1" x14ac:dyDescent="0.2">
      <c r="A194" s="113"/>
      <c r="B194" s="113"/>
      <c r="C194" s="209"/>
      <c r="D194" s="209"/>
    </row>
    <row r="195" spans="1:4" s="12" customFormat="1" ht="16.5" customHeight="1" x14ac:dyDescent="0.2">
      <c r="A195" s="113"/>
      <c r="B195" s="113"/>
      <c r="C195" s="209"/>
      <c r="D195" s="209"/>
    </row>
    <row r="196" spans="1:4" s="12" customFormat="1" ht="16.5" customHeight="1" x14ac:dyDescent="0.2">
      <c r="A196" s="113"/>
      <c r="B196" s="113"/>
      <c r="C196" s="209"/>
      <c r="D196" s="209"/>
    </row>
    <row r="197" spans="1:4" s="12" customFormat="1" ht="16.5" customHeight="1" x14ac:dyDescent="0.2">
      <c r="A197" s="113"/>
      <c r="B197" s="113"/>
      <c r="C197" s="209"/>
      <c r="D197" s="209"/>
    </row>
    <row r="198" spans="1:4" s="12" customFormat="1" ht="16.5" customHeight="1" x14ac:dyDescent="0.2">
      <c r="A198" s="113"/>
      <c r="B198" s="113"/>
      <c r="C198" s="209"/>
      <c r="D198" s="209"/>
    </row>
    <row r="199" spans="1:4" s="12" customFormat="1" ht="16.5" customHeight="1" x14ac:dyDescent="0.2">
      <c r="A199" s="113"/>
      <c r="B199" s="113"/>
      <c r="C199" s="209"/>
      <c r="D199" s="209"/>
    </row>
    <row r="200" spans="1:4" s="12" customFormat="1" ht="16.5" customHeight="1" x14ac:dyDescent="0.2">
      <c r="A200" s="113"/>
      <c r="B200" s="113"/>
      <c r="C200" s="209"/>
      <c r="D200" s="209"/>
    </row>
    <row r="201" spans="1:4" s="12" customFormat="1" ht="16.5" customHeight="1" x14ac:dyDescent="0.2">
      <c r="A201" s="113"/>
      <c r="B201" s="113"/>
      <c r="C201" s="209"/>
      <c r="D201" s="209"/>
    </row>
    <row r="202" spans="1:4" s="12" customFormat="1" ht="16.5" customHeight="1" x14ac:dyDescent="0.2">
      <c r="A202" s="113"/>
      <c r="B202" s="113"/>
      <c r="C202" s="209"/>
      <c r="D202" s="209"/>
    </row>
    <row r="203" spans="1:4" s="12" customFormat="1" ht="16.5" customHeight="1" x14ac:dyDescent="0.2">
      <c r="A203" s="113"/>
      <c r="B203" s="113"/>
      <c r="C203" s="209"/>
      <c r="D203" s="209"/>
    </row>
    <row r="204" spans="1:4" s="12" customFormat="1" ht="16.5" customHeight="1" x14ac:dyDescent="0.2">
      <c r="A204" s="113"/>
      <c r="B204" s="113"/>
      <c r="C204" s="209"/>
      <c r="D204" s="209"/>
    </row>
    <row r="205" spans="1:4" s="12" customFormat="1" ht="16.5" customHeight="1" x14ac:dyDescent="0.2">
      <c r="A205" s="113"/>
      <c r="B205" s="113"/>
      <c r="C205" s="209"/>
      <c r="D205" s="209"/>
    </row>
    <row r="206" spans="1:4" s="12" customFormat="1" ht="16.5" customHeight="1" x14ac:dyDescent="0.2">
      <c r="A206" s="113"/>
      <c r="B206" s="113"/>
      <c r="C206" s="209"/>
      <c r="D206" s="209"/>
    </row>
    <row r="207" spans="1:4" s="12" customFormat="1" ht="16.5" customHeight="1" x14ac:dyDescent="0.2">
      <c r="A207" s="113"/>
      <c r="B207" s="113"/>
      <c r="C207" s="209"/>
      <c r="D207" s="209"/>
    </row>
    <row r="208" spans="1:4" s="12" customFormat="1" ht="16.5" customHeight="1" x14ac:dyDescent="0.2">
      <c r="A208" s="113"/>
      <c r="B208" s="113"/>
      <c r="C208" s="209"/>
      <c r="D208" s="209"/>
    </row>
    <row r="209" spans="1:4" s="12" customFormat="1" ht="16.5" customHeight="1" x14ac:dyDescent="0.2">
      <c r="A209" s="113"/>
      <c r="B209" s="113"/>
      <c r="C209" s="209"/>
      <c r="D209" s="209"/>
    </row>
    <row r="210" spans="1:4" s="12" customFormat="1" ht="16.5" customHeight="1" x14ac:dyDescent="0.2">
      <c r="A210" s="113"/>
      <c r="B210" s="113"/>
      <c r="C210" s="209"/>
      <c r="D210" s="209"/>
    </row>
    <row r="211" spans="1:4" s="12" customFormat="1" ht="16.5" customHeight="1" x14ac:dyDescent="0.2">
      <c r="A211" s="113"/>
      <c r="B211" s="113"/>
      <c r="C211" s="209"/>
      <c r="D211" s="209"/>
    </row>
    <row r="212" spans="1:4" s="12" customFormat="1" ht="16.5" customHeight="1" x14ac:dyDescent="0.2">
      <c r="A212" s="113"/>
      <c r="B212" s="113"/>
      <c r="C212" s="209"/>
      <c r="D212" s="209"/>
    </row>
    <row r="213" spans="1:4" s="12" customFormat="1" ht="16.5" customHeight="1" x14ac:dyDescent="0.2">
      <c r="A213" s="113"/>
      <c r="B213" s="113"/>
      <c r="C213" s="209"/>
      <c r="D213" s="209"/>
    </row>
    <row r="214" spans="1:4" s="12" customFormat="1" ht="16.5" customHeight="1" x14ac:dyDescent="0.2">
      <c r="A214" s="113"/>
      <c r="B214" s="113"/>
      <c r="C214" s="209"/>
      <c r="D214" s="209"/>
    </row>
    <row r="215" spans="1:4" s="12" customFormat="1" ht="16.5" customHeight="1" x14ac:dyDescent="0.2">
      <c r="A215" s="113"/>
      <c r="B215" s="113"/>
      <c r="C215" s="209"/>
      <c r="D215" s="209"/>
    </row>
    <row r="216" spans="1:4" s="12" customFormat="1" ht="16.5" customHeight="1" x14ac:dyDescent="0.2">
      <c r="A216" s="113"/>
      <c r="B216" s="113"/>
      <c r="C216" s="209"/>
      <c r="D216" s="209"/>
    </row>
    <row r="217" spans="1:4" s="12" customFormat="1" ht="16.5" customHeight="1" x14ac:dyDescent="0.2">
      <c r="A217" s="113"/>
      <c r="B217" s="113"/>
      <c r="C217" s="209"/>
      <c r="D217" s="209"/>
    </row>
    <row r="218" spans="1:4" s="12" customFormat="1" ht="16.5" customHeight="1" x14ac:dyDescent="0.2">
      <c r="A218" s="113"/>
      <c r="B218" s="113"/>
      <c r="C218" s="209"/>
      <c r="D218" s="209"/>
    </row>
    <row r="219" spans="1:4" s="12" customFormat="1" ht="16.5" customHeight="1" x14ac:dyDescent="0.2">
      <c r="A219" s="113"/>
      <c r="B219" s="113"/>
      <c r="C219" s="209"/>
      <c r="D219" s="209"/>
    </row>
    <row r="220" spans="1:4" s="12" customFormat="1" ht="16.5" customHeight="1" x14ac:dyDescent="0.2">
      <c r="A220" s="113"/>
      <c r="B220" s="113"/>
      <c r="C220" s="209"/>
      <c r="D220" s="209"/>
    </row>
    <row r="221" spans="1:4" s="12" customFormat="1" ht="16.5" customHeight="1" x14ac:dyDescent="0.2">
      <c r="A221" s="113"/>
      <c r="B221" s="113"/>
      <c r="C221" s="209"/>
      <c r="D221" s="209"/>
    </row>
    <row r="222" spans="1:4" s="12" customFormat="1" ht="16.5" customHeight="1" x14ac:dyDescent="0.2">
      <c r="A222" s="113"/>
      <c r="B222" s="113"/>
      <c r="C222" s="209"/>
      <c r="D222" s="209"/>
    </row>
    <row r="223" spans="1:4" s="12" customFormat="1" ht="16.5" customHeight="1" x14ac:dyDescent="0.2">
      <c r="A223" s="113"/>
      <c r="B223" s="113"/>
      <c r="C223" s="209"/>
      <c r="D223" s="209"/>
    </row>
    <row r="224" spans="1:4" s="12" customFormat="1" ht="16.5" customHeight="1" x14ac:dyDescent="0.2">
      <c r="A224" s="113"/>
      <c r="B224" s="113"/>
      <c r="C224" s="209"/>
      <c r="D224" s="209"/>
    </row>
    <row r="225" spans="1:4" s="12" customFormat="1" ht="16.5" customHeight="1" x14ac:dyDescent="0.2">
      <c r="A225" s="113"/>
      <c r="B225" s="113"/>
      <c r="C225" s="209"/>
      <c r="D225" s="209"/>
    </row>
    <row r="226" spans="1:4" s="12" customFormat="1" ht="16.5" customHeight="1" x14ac:dyDescent="0.2">
      <c r="A226" s="113"/>
      <c r="B226" s="113"/>
      <c r="C226" s="209"/>
      <c r="D226" s="209"/>
    </row>
    <row r="227" spans="1:4" s="12" customFormat="1" ht="16.5" customHeight="1" x14ac:dyDescent="0.2">
      <c r="A227" s="113"/>
      <c r="B227" s="113"/>
      <c r="C227" s="209"/>
      <c r="D227" s="209"/>
    </row>
    <row r="228" spans="1:4" s="12" customFormat="1" ht="16.5" customHeight="1" x14ac:dyDescent="0.2">
      <c r="A228" s="113"/>
      <c r="B228" s="113"/>
      <c r="C228" s="209"/>
      <c r="D228" s="209"/>
    </row>
    <row r="229" spans="1:4" s="12" customFormat="1" ht="16.5" customHeight="1" x14ac:dyDescent="0.2">
      <c r="A229" s="113"/>
      <c r="B229" s="113"/>
      <c r="C229" s="209"/>
      <c r="D229" s="209"/>
    </row>
    <row r="230" spans="1:4" s="12" customFormat="1" ht="16.5" customHeight="1" x14ac:dyDescent="0.2">
      <c r="A230" s="113"/>
      <c r="B230" s="113"/>
      <c r="C230" s="209"/>
      <c r="D230" s="209"/>
    </row>
    <row r="231" spans="1:4" s="12" customFormat="1" ht="16.5" customHeight="1" x14ac:dyDescent="0.2">
      <c r="A231" s="113"/>
      <c r="B231" s="113"/>
      <c r="C231" s="209"/>
      <c r="D231" s="209"/>
    </row>
    <row r="232" spans="1:4" s="12" customFormat="1" ht="16.5" customHeight="1" x14ac:dyDescent="0.2">
      <c r="A232" s="113"/>
      <c r="B232" s="113"/>
      <c r="C232" s="209"/>
      <c r="D232" s="209"/>
    </row>
    <row r="233" spans="1:4" s="12" customFormat="1" ht="16.5" customHeight="1" x14ac:dyDescent="0.2">
      <c r="A233" s="113"/>
      <c r="B233" s="113"/>
      <c r="C233" s="209"/>
      <c r="D233" s="209"/>
    </row>
    <row r="234" spans="1:4" s="12" customFormat="1" ht="16.5" customHeight="1" x14ac:dyDescent="0.2">
      <c r="A234" s="113"/>
      <c r="B234" s="113"/>
      <c r="C234" s="209"/>
      <c r="D234" s="209"/>
    </row>
    <row r="235" spans="1:4" s="12" customFormat="1" ht="16.5" customHeight="1" x14ac:dyDescent="0.2">
      <c r="A235" s="113"/>
      <c r="B235" s="113"/>
      <c r="C235" s="209"/>
      <c r="D235" s="209"/>
    </row>
    <row r="236" spans="1:4" s="12" customFormat="1" ht="16.5" customHeight="1" x14ac:dyDescent="0.2">
      <c r="A236" s="113"/>
      <c r="B236" s="113"/>
      <c r="C236" s="209"/>
      <c r="D236" s="209"/>
    </row>
    <row r="237" spans="1:4" s="12" customFormat="1" ht="16.5" customHeight="1" x14ac:dyDescent="0.2">
      <c r="A237" s="113"/>
      <c r="B237" s="113"/>
      <c r="C237" s="209"/>
      <c r="D237" s="209"/>
    </row>
    <row r="238" spans="1:4" s="12" customFormat="1" ht="16.5" customHeight="1" x14ac:dyDescent="0.2">
      <c r="A238" s="113"/>
      <c r="B238" s="113"/>
      <c r="C238" s="209"/>
      <c r="D238" s="209"/>
    </row>
    <row r="239" spans="1:4" s="12" customFormat="1" ht="16.5" customHeight="1" x14ac:dyDescent="0.2">
      <c r="A239" s="113"/>
      <c r="B239" s="113"/>
      <c r="C239" s="209"/>
      <c r="D239" s="209"/>
    </row>
    <row r="240" spans="1:4" s="12" customFormat="1" ht="16.5" customHeight="1" x14ac:dyDescent="0.2">
      <c r="A240" s="113"/>
      <c r="B240" s="113"/>
      <c r="C240" s="209"/>
      <c r="D240" s="209"/>
    </row>
    <row r="241" spans="1:4" s="12" customFormat="1" ht="16.5" customHeight="1" x14ac:dyDescent="0.2">
      <c r="A241" s="113"/>
      <c r="B241" s="113"/>
      <c r="C241" s="209"/>
      <c r="D241" s="209"/>
    </row>
    <row r="242" spans="1:4" s="12" customFormat="1" ht="16.5" customHeight="1" x14ac:dyDescent="0.2">
      <c r="A242" s="113"/>
      <c r="B242" s="113"/>
      <c r="C242" s="209"/>
      <c r="D242" s="209"/>
    </row>
    <row r="243" spans="1:4" s="12" customFormat="1" ht="16.5" customHeight="1" x14ac:dyDescent="0.2">
      <c r="A243" s="113"/>
      <c r="B243" s="113"/>
      <c r="C243" s="209"/>
      <c r="D243" s="209"/>
    </row>
    <row r="244" spans="1:4" s="12" customFormat="1" ht="16.5" customHeight="1" x14ac:dyDescent="0.2">
      <c r="A244" s="113"/>
      <c r="B244" s="113"/>
      <c r="C244" s="209"/>
      <c r="D244" s="209"/>
    </row>
    <row r="245" spans="1:4" s="12" customFormat="1" ht="16.5" customHeight="1" x14ac:dyDescent="0.2">
      <c r="A245" s="113"/>
      <c r="B245" s="113"/>
      <c r="C245" s="209"/>
      <c r="D245" s="209"/>
    </row>
    <row r="246" spans="1:4" s="12" customFormat="1" ht="16.5" customHeight="1" x14ac:dyDescent="0.2">
      <c r="A246" s="113"/>
      <c r="B246" s="113"/>
      <c r="C246" s="209"/>
      <c r="D246" s="209"/>
    </row>
    <row r="247" spans="1:4" s="12" customFormat="1" ht="16.5" customHeight="1" x14ac:dyDescent="0.2">
      <c r="A247" s="113"/>
      <c r="B247" s="113"/>
      <c r="C247" s="209"/>
      <c r="D247" s="209"/>
    </row>
    <row r="248" spans="1:4" s="12" customFormat="1" ht="16.5" customHeight="1" x14ac:dyDescent="0.2">
      <c r="A248" s="113"/>
      <c r="B248" s="113"/>
      <c r="C248" s="209"/>
      <c r="D248" s="209"/>
    </row>
    <row r="249" spans="1:4" s="12" customFormat="1" ht="16.5" customHeight="1" x14ac:dyDescent="0.2">
      <c r="A249" s="113"/>
      <c r="B249" s="113"/>
      <c r="C249" s="209"/>
      <c r="D249" s="209"/>
    </row>
    <row r="250" spans="1:4" s="12" customFormat="1" ht="16.5" customHeight="1" x14ac:dyDescent="0.2">
      <c r="A250" s="113"/>
      <c r="B250" s="113"/>
      <c r="C250" s="209"/>
      <c r="D250" s="209"/>
    </row>
    <row r="251" spans="1:4" s="12" customFormat="1" ht="16.5" customHeight="1" x14ac:dyDescent="0.2">
      <c r="A251" s="113"/>
      <c r="B251" s="113"/>
      <c r="C251" s="209"/>
      <c r="D251" s="209"/>
    </row>
    <row r="252" spans="1:4" s="12" customFormat="1" ht="16.5" customHeight="1" x14ac:dyDescent="0.2">
      <c r="A252" s="113"/>
      <c r="B252" s="113"/>
      <c r="C252" s="209"/>
      <c r="D252" s="209"/>
    </row>
    <row r="253" spans="1:4" s="12" customFormat="1" ht="16.5" customHeight="1" x14ac:dyDescent="0.2">
      <c r="A253" s="113"/>
      <c r="B253" s="113"/>
      <c r="C253" s="209"/>
      <c r="D253" s="209"/>
    </row>
    <row r="254" spans="1:4" s="12" customFormat="1" ht="16.5" customHeight="1" x14ac:dyDescent="0.2">
      <c r="A254" s="113"/>
      <c r="B254" s="113"/>
      <c r="C254" s="209"/>
      <c r="D254" s="209"/>
    </row>
    <row r="255" spans="1:4" s="12" customFormat="1" ht="16.5" customHeight="1" x14ac:dyDescent="0.2">
      <c r="A255" s="113"/>
      <c r="B255" s="113"/>
      <c r="C255" s="209"/>
      <c r="D255" s="209"/>
    </row>
    <row r="256" spans="1:4" s="12" customFormat="1" ht="16.5" customHeight="1" x14ac:dyDescent="0.2">
      <c r="A256" s="113"/>
      <c r="B256" s="113"/>
      <c r="C256" s="209"/>
      <c r="D256" s="209"/>
    </row>
    <row r="257" spans="1:4" s="12" customFormat="1" ht="16.5" customHeight="1" x14ac:dyDescent="0.2">
      <c r="A257" s="113"/>
      <c r="B257" s="113"/>
      <c r="C257" s="209"/>
      <c r="D257" s="209"/>
    </row>
    <row r="258" spans="1:4" s="12" customFormat="1" ht="16.5" customHeight="1" x14ac:dyDescent="0.2">
      <c r="A258" s="113"/>
      <c r="B258" s="113"/>
      <c r="C258" s="209"/>
      <c r="D258" s="209"/>
    </row>
    <row r="259" spans="1:4" s="12" customFormat="1" ht="16.5" customHeight="1" x14ac:dyDescent="0.2">
      <c r="A259" s="113"/>
      <c r="B259" s="113"/>
      <c r="C259" s="209"/>
      <c r="D259" s="209"/>
    </row>
    <row r="260" spans="1:4" s="12" customFormat="1" ht="16.5" customHeight="1" x14ac:dyDescent="0.2">
      <c r="A260" s="113"/>
      <c r="B260" s="113"/>
      <c r="C260" s="209"/>
      <c r="D260" s="209"/>
    </row>
    <row r="261" spans="1:4" s="12" customFormat="1" ht="16.5" customHeight="1" x14ac:dyDescent="0.2">
      <c r="A261" s="113"/>
      <c r="B261" s="113"/>
      <c r="C261" s="209"/>
      <c r="D261" s="209"/>
    </row>
    <row r="262" spans="1:4" s="12" customFormat="1" ht="16.5" customHeight="1" x14ac:dyDescent="0.2">
      <c r="A262" s="113"/>
      <c r="B262" s="113"/>
      <c r="C262" s="209"/>
      <c r="D262" s="209"/>
    </row>
    <row r="263" spans="1:4" s="12" customFormat="1" ht="16.5" customHeight="1" x14ac:dyDescent="0.2">
      <c r="A263" s="113"/>
      <c r="B263" s="113"/>
      <c r="C263" s="209"/>
      <c r="D263" s="209"/>
    </row>
    <row r="264" spans="1:4" s="12" customFormat="1" ht="16.5" customHeight="1" x14ac:dyDescent="0.2">
      <c r="A264" s="113"/>
      <c r="B264" s="113"/>
      <c r="C264" s="209"/>
      <c r="D264" s="209"/>
    </row>
    <row r="265" spans="1:4" s="12" customFormat="1" ht="16.5" customHeight="1" x14ac:dyDescent="0.2">
      <c r="A265" s="113"/>
      <c r="B265" s="113"/>
      <c r="C265" s="209"/>
      <c r="D265" s="209"/>
    </row>
    <row r="266" spans="1:4" s="12" customFormat="1" ht="16.5" customHeight="1" x14ac:dyDescent="0.2">
      <c r="A266" s="113"/>
      <c r="B266" s="113"/>
      <c r="C266" s="209"/>
      <c r="D266" s="209"/>
    </row>
    <row r="267" spans="1:4" s="12" customFormat="1" ht="16.5" customHeight="1" x14ac:dyDescent="0.2">
      <c r="A267" s="113"/>
      <c r="B267" s="113"/>
      <c r="C267" s="209"/>
      <c r="D267" s="209"/>
    </row>
    <row r="268" spans="1:4" s="12" customFormat="1" ht="16.5" customHeight="1" x14ac:dyDescent="0.2">
      <c r="A268" s="113"/>
      <c r="B268" s="113"/>
      <c r="C268" s="209"/>
      <c r="D268" s="209"/>
    </row>
    <row r="269" spans="1:4" s="12" customFormat="1" ht="16.5" customHeight="1" x14ac:dyDescent="0.2">
      <c r="A269" s="113"/>
      <c r="B269" s="113"/>
      <c r="C269" s="209"/>
      <c r="D269" s="209"/>
    </row>
    <row r="270" spans="1:4" s="12" customFormat="1" ht="16.5" customHeight="1" x14ac:dyDescent="0.2">
      <c r="A270" s="113"/>
      <c r="B270" s="113"/>
      <c r="C270" s="209"/>
      <c r="D270" s="209"/>
    </row>
    <row r="271" spans="1:4" s="12" customFormat="1" ht="16.5" customHeight="1" x14ac:dyDescent="0.2">
      <c r="A271" s="113"/>
      <c r="B271" s="113"/>
      <c r="C271" s="209"/>
      <c r="D271" s="209"/>
    </row>
    <row r="272" spans="1:4" s="12" customFormat="1" ht="16.5" customHeight="1" x14ac:dyDescent="0.2">
      <c r="A272" s="113"/>
      <c r="B272" s="113"/>
      <c r="C272" s="209"/>
      <c r="D272" s="209"/>
    </row>
    <row r="273" spans="1:4" s="12" customFormat="1" ht="16.5" customHeight="1" x14ac:dyDescent="0.2">
      <c r="A273" s="113"/>
      <c r="B273" s="113"/>
      <c r="C273" s="209"/>
      <c r="D273" s="209"/>
    </row>
    <row r="274" spans="1:4" s="12" customFormat="1" ht="16.5" customHeight="1" x14ac:dyDescent="0.2">
      <c r="A274" s="113"/>
      <c r="B274" s="113"/>
      <c r="C274" s="209"/>
      <c r="D274" s="209"/>
    </row>
    <row r="275" spans="1:4" s="12" customFormat="1" ht="16.5" customHeight="1" x14ac:dyDescent="0.2">
      <c r="A275" s="113"/>
      <c r="B275" s="113"/>
      <c r="C275" s="209"/>
      <c r="D275" s="209"/>
    </row>
    <row r="276" spans="1:4" s="12" customFormat="1" ht="16.5" customHeight="1" x14ac:dyDescent="0.2">
      <c r="A276" s="113"/>
      <c r="B276" s="113"/>
      <c r="C276" s="209"/>
      <c r="D276" s="209"/>
    </row>
    <row r="277" spans="1:4" s="12" customFormat="1" ht="16.5" customHeight="1" x14ac:dyDescent="0.2">
      <c r="A277" s="113"/>
      <c r="B277" s="113"/>
      <c r="C277" s="209"/>
      <c r="D277" s="209"/>
    </row>
    <row r="278" spans="1:4" s="12" customFormat="1" ht="16.5" customHeight="1" x14ac:dyDescent="0.2">
      <c r="A278" s="113"/>
      <c r="B278" s="113"/>
      <c r="C278" s="209"/>
      <c r="D278" s="209"/>
    </row>
    <row r="279" spans="1:4" s="12" customFormat="1" ht="16.5" customHeight="1" x14ac:dyDescent="0.2">
      <c r="A279" s="113"/>
      <c r="B279" s="113"/>
      <c r="C279" s="209"/>
      <c r="D279" s="209"/>
    </row>
    <row r="280" spans="1:4" s="12" customFormat="1" ht="16.5" customHeight="1" x14ac:dyDescent="0.2">
      <c r="A280" s="113"/>
      <c r="B280" s="113"/>
      <c r="C280" s="209"/>
      <c r="D280" s="209"/>
    </row>
    <row r="281" spans="1:4" s="12" customFormat="1" ht="16.5" customHeight="1" x14ac:dyDescent="0.2">
      <c r="A281" s="113"/>
      <c r="B281" s="113"/>
      <c r="C281" s="209"/>
      <c r="D281" s="209"/>
    </row>
    <row r="282" spans="1:4" s="12" customFormat="1" ht="16.5" customHeight="1" x14ac:dyDescent="0.2">
      <c r="A282" s="113"/>
      <c r="B282" s="113"/>
      <c r="C282" s="209"/>
      <c r="D282" s="209"/>
    </row>
    <row r="283" spans="1:4" s="12" customFormat="1" ht="16.5" customHeight="1" x14ac:dyDescent="0.2">
      <c r="A283" s="113"/>
      <c r="B283" s="113"/>
      <c r="C283" s="209"/>
      <c r="D283" s="209"/>
    </row>
    <row r="284" spans="1:4" s="12" customFormat="1" ht="16.5" customHeight="1" x14ac:dyDescent="0.2">
      <c r="A284" s="113"/>
      <c r="B284" s="113"/>
      <c r="C284" s="209"/>
      <c r="D284" s="209"/>
    </row>
    <row r="285" spans="1:4" s="12" customFormat="1" ht="16.5" customHeight="1" x14ac:dyDescent="0.2">
      <c r="A285" s="113"/>
      <c r="B285" s="113"/>
      <c r="C285" s="209"/>
      <c r="D285" s="209"/>
    </row>
    <row r="286" spans="1:4" s="12" customFormat="1" ht="16.5" customHeight="1" x14ac:dyDescent="0.2">
      <c r="A286" s="113"/>
      <c r="B286" s="113"/>
      <c r="C286" s="209"/>
      <c r="D286" s="209"/>
    </row>
    <row r="287" spans="1:4" s="12" customFormat="1" ht="16.5" customHeight="1" x14ac:dyDescent="0.2">
      <c r="A287" s="113"/>
      <c r="B287" s="113"/>
      <c r="C287" s="209"/>
      <c r="D287" s="209"/>
    </row>
    <row r="288" spans="1:4" s="12" customFormat="1" ht="16.5" customHeight="1" x14ac:dyDescent="0.2">
      <c r="A288" s="113"/>
      <c r="B288" s="113"/>
      <c r="C288" s="209"/>
      <c r="D288" s="209"/>
    </row>
    <row r="289" spans="1:4" s="12" customFormat="1" ht="16.5" customHeight="1" x14ac:dyDescent="0.2">
      <c r="A289" s="113"/>
      <c r="B289" s="113"/>
      <c r="C289" s="209"/>
      <c r="D289" s="209"/>
    </row>
    <row r="290" spans="1:4" s="12" customFormat="1" ht="16.5" customHeight="1" x14ac:dyDescent="0.2">
      <c r="A290" s="113"/>
      <c r="B290" s="113"/>
      <c r="C290" s="209"/>
      <c r="D290" s="209"/>
    </row>
    <row r="291" spans="1:4" s="12" customFormat="1" ht="16.5" customHeight="1" x14ac:dyDescent="0.2">
      <c r="A291" s="113"/>
      <c r="B291" s="113"/>
      <c r="C291" s="209"/>
      <c r="D291" s="209"/>
    </row>
    <row r="292" spans="1:4" s="12" customFormat="1" ht="16.5" customHeight="1" x14ac:dyDescent="0.2">
      <c r="A292" s="113"/>
      <c r="B292" s="113"/>
      <c r="C292" s="209"/>
      <c r="D292" s="209"/>
    </row>
    <row r="293" spans="1:4" s="12" customFormat="1" ht="16.5" customHeight="1" x14ac:dyDescent="0.2">
      <c r="A293" s="113"/>
      <c r="B293" s="113"/>
      <c r="C293" s="209"/>
      <c r="D293" s="209"/>
    </row>
    <row r="294" spans="1:4" s="12" customFormat="1" ht="16.5" customHeight="1" x14ac:dyDescent="0.2">
      <c r="A294" s="113"/>
      <c r="B294" s="113"/>
      <c r="C294" s="209"/>
      <c r="D294" s="209"/>
    </row>
    <row r="295" spans="1:4" s="12" customFormat="1" ht="16.5" customHeight="1" x14ac:dyDescent="0.2">
      <c r="A295" s="113"/>
      <c r="B295" s="113"/>
      <c r="C295" s="209"/>
      <c r="D295" s="209"/>
    </row>
    <row r="296" spans="1:4" s="12" customFormat="1" ht="16.5" customHeight="1" x14ac:dyDescent="0.2">
      <c r="A296" s="113"/>
      <c r="B296" s="113"/>
      <c r="C296" s="209"/>
      <c r="D296" s="209"/>
    </row>
    <row r="297" spans="1:4" s="12" customFormat="1" ht="16.5" customHeight="1" x14ac:dyDescent="0.2">
      <c r="A297" s="113"/>
      <c r="B297" s="113"/>
      <c r="C297" s="209"/>
      <c r="D297" s="209"/>
    </row>
    <row r="298" spans="1:4" s="12" customFormat="1" ht="16.5" customHeight="1" x14ac:dyDescent="0.2">
      <c r="A298" s="113"/>
      <c r="B298" s="113"/>
      <c r="C298" s="209"/>
      <c r="D298" s="209"/>
    </row>
    <row r="299" spans="1:4" s="12" customFormat="1" ht="16.5" customHeight="1" x14ac:dyDescent="0.2">
      <c r="A299" s="113"/>
      <c r="B299" s="113"/>
      <c r="C299" s="209"/>
      <c r="D299" s="209"/>
    </row>
    <row r="300" spans="1:4" s="12" customFormat="1" ht="16.5" customHeight="1" x14ac:dyDescent="0.2">
      <c r="A300" s="113"/>
      <c r="B300" s="113"/>
      <c r="C300" s="209"/>
      <c r="D300" s="209"/>
    </row>
    <row r="301" spans="1:4" s="12" customFormat="1" ht="16.5" customHeight="1" x14ac:dyDescent="0.2">
      <c r="A301" s="113"/>
      <c r="B301" s="113"/>
      <c r="C301" s="209"/>
      <c r="D301" s="209"/>
    </row>
    <row r="302" spans="1:4" s="12" customFormat="1" ht="16.5" customHeight="1" x14ac:dyDescent="0.2">
      <c r="A302" s="113"/>
      <c r="B302" s="113"/>
      <c r="C302" s="209"/>
      <c r="D302" s="209"/>
    </row>
    <row r="303" spans="1:4" s="12" customFormat="1" ht="16.5" customHeight="1" x14ac:dyDescent="0.2">
      <c r="A303" s="113"/>
      <c r="B303" s="113"/>
      <c r="C303" s="209"/>
      <c r="D303" s="209"/>
    </row>
    <row r="304" spans="1:4" s="12" customFormat="1" ht="16.5" customHeight="1" x14ac:dyDescent="0.2">
      <c r="A304" s="113"/>
      <c r="B304" s="113"/>
      <c r="C304" s="209"/>
      <c r="D304" s="209"/>
    </row>
    <row r="305" spans="1:4" s="12" customFormat="1" ht="16.5" customHeight="1" x14ac:dyDescent="0.2">
      <c r="A305" s="113"/>
      <c r="B305" s="113"/>
      <c r="C305" s="209"/>
      <c r="D305" s="209"/>
    </row>
    <row r="306" spans="1:4" s="12" customFormat="1" ht="16.5" customHeight="1" x14ac:dyDescent="0.2">
      <c r="A306" s="113"/>
      <c r="B306" s="113"/>
      <c r="C306" s="209"/>
      <c r="D306" s="209"/>
    </row>
    <row r="307" spans="1:4" s="12" customFormat="1" ht="16.5" customHeight="1" x14ac:dyDescent="0.2">
      <c r="A307" s="113"/>
      <c r="B307" s="113"/>
      <c r="C307" s="209"/>
      <c r="D307" s="209"/>
    </row>
    <row r="308" spans="1:4" s="12" customFormat="1" ht="16.5" customHeight="1" x14ac:dyDescent="0.2">
      <c r="A308" s="113"/>
      <c r="B308" s="113"/>
      <c r="C308" s="209"/>
      <c r="D308" s="209"/>
    </row>
    <row r="309" spans="1:4" s="12" customFormat="1" ht="16.5" customHeight="1" x14ac:dyDescent="0.2">
      <c r="A309" s="113"/>
      <c r="B309" s="113"/>
      <c r="C309" s="209"/>
      <c r="D309" s="209"/>
    </row>
    <row r="310" spans="1:4" s="12" customFormat="1" ht="16.5" customHeight="1" x14ac:dyDescent="0.2">
      <c r="A310" s="113"/>
      <c r="B310" s="113"/>
      <c r="C310" s="209"/>
      <c r="D310" s="209"/>
    </row>
    <row r="311" spans="1:4" s="12" customFormat="1" ht="16.5" customHeight="1" x14ac:dyDescent="0.2">
      <c r="A311" s="113"/>
      <c r="B311" s="113"/>
      <c r="C311" s="209"/>
      <c r="D311" s="209"/>
    </row>
    <row r="312" spans="1:4" s="12" customFormat="1" ht="16.5" customHeight="1" x14ac:dyDescent="0.2">
      <c r="A312" s="113"/>
      <c r="B312" s="113"/>
      <c r="C312" s="209"/>
      <c r="D312" s="209"/>
    </row>
    <row r="313" spans="1:4" s="12" customFormat="1" ht="16.5" customHeight="1" x14ac:dyDescent="0.2">
      <c r="A313" s="113"/>
      <c r="B313" s="113"/>
      <c r="C313" s="209"/>
      <c r="D313" s="209"/>
    </row>
    <row r="314" spans="1:4" s="12" customFormat="1" ht="16.5" customHeight="1" x14ac:dyDescent="0.2">
      <c r="A314" s="113"/>
      <c r="B314" s="113"/>
      <c r="C314" s="209"/>
      <c r="D314" s="209"/>
    </row>
    <row r="315" spans="1:4" s="12" customFormat="1" ht="16.5" customHeight="1" x14ac:dyDescent="0.2">
      <c r="A315" s="113"/>
      <c r="B315" s="113"/>
      <c r="C315" s="209"/>
      <c r="D315" s="209"/>
    </row>
    <row r="316" spans="1:4" s="12" customFormat="1" ht="16.5" customHeight="1" x14ac:dyDescent="0.2">
      <c r="A316" s="113"/>
      <c r="B316" s="113"/>
      <c r="C316" s="209"/>
      <c r="D316" s="209"/>
    </row>
    <row r="317" spans="1:4" s="12" customFormat="1" ht="16.5" customHeight="1" x14ac:dyDescent="0.2">
      <c r="A317" s="113"/>
      <c r="B317" s="113"/>
      <c r="C317" s="209"/>
      <c r="D317" s="209"/>
    </row>
    <row r="318" spans="1:4" s="12" customFormat="1" ht="16.5" customHeight="1" x14ac:dyDescent="0.2">
      <c r="A318" s="113"/>
      <c r="B318" s="113"/>
      <c r="C318" s="209"/>
      <c r="D318" s="209"/>
    </row>
    <row r="319" spans="1:4" s="12" customFormat="1" ht="16.5" customHeight="1" x14ac:dyDescent="0.2">
      <c r="A319" s="113"/>
      <c r="B319" s="113"/>
      <c r="C319" s="209"/>
      <c r="D319" s="209"/>
    </row>
    <row r="320" spans="1:4" s="12" customFormat="1" ht="16.5" customHeight="1" x14ac:dyDescent="0.2">
      <c r="A320" s="113"/>
      <c r="B320" s="113"/>
      <c r="C320" s="209"/>
      <c r="D320" s="209"/>
    </row>
    <row r="321" spans="1:4" s="12" customFormat="1" ht="16.5" customHeight="1" x14ac:dyDescent="0.2">
      <c r="A321" s="113"/>
      <c r="B321" s="113"/>
      <c r="C321" s="209"/>
      <c r="D321" s="209"/>
    </row>
    <row r="322" spans="1:4" s="12" customFormat="1" ht="16.5" customHeight="1" x14ac:dyDescent="0.2">
      <c r="A322" s="113"/>
      <c r="B322" s="113"/>
      <c r="C322" s="209"/>
      <c r="D322" s="209"/>
    </row>
    <row r="323" spans="1:4" s="12" customFormat="1" ht="16.5" customHeight="1" x14ac:dyDescent="0.2">
      <c r="A323" s="113"/>
      <c r="B323" s="113"/>
      <c r="C323" s="209"/>
      <c r="D323" s="209"/>
    </row>
    <row r="324" spans="1:4" s="12" customFormat="1" ht="16.5" customHeight="1" x14ac:dyDescent="0.2">
      <c r="A324" s="113"/>
      <c r="B324" s="113"/>
      <c r="C324" s="209"/>
      <c r="D324" s="209"/>
    </row>
    <row r="325" spans="1:4" s="12" customFormat="1" ht="16.5" customHeight="1" x14ac:dyDescent="0.2">
      <c r="A325" s="113"/>
      <c r="B325" s="113"/>
      <c r="C325" s="209"/>
      <c r="D325" s="209"/>
    </row>
    <row r="326" spans="1:4" s="12" customFormat="1" ht="16.5" customHeight="1" x14ac:dyDescent="0.2">
      <c r="A326" s="113"/>
      <c r="B326" s="113"/>
      <c r="C326" s="209"/>
      <c r="D326" s="209"/>
    </row>
    <row r="327" spans="1:4" s="12" customFormat="1" ht="16.5" customHeight="1" x14ac:dyDescent="0.2">
      <c r="A327" s="113"/>
      <c r="B327" s="113"/>
      <c r="C327" s="209"/>
      <c r="D327" s="209"/>
    </row>
    <row r="328" spans="1:4" s="12" customFormat="1" ht="16.5" customHeight="1" x14ac:dyDescent="0.2">
      <c r="A328" s="113"/>
      <c r="B328" s="113"/>
      <c r="C328" s="209"/>
      <c r="D328" s="209"/>
    </row>
    <row r="329" spans="1:4" s="12" customFormat="1" ht="16.5" customHeight="1" x14ac:dyDescent="0.2">
      <c r="A329" s="113"/>
      <c r="B329" s="113"/>
      <c r="C329" s="209"/>
      <c r="D329" s="209"/>
    </row>
    <row r="330" spans="1:4" s="12" customFormat="1" ht="16.5" customHeight="1" x14ac:dyDescent="0.2">
      <c r="A330" s="113"/>
      <c r="B330" s="113"/>
      <c r="C330" s="209"/>
      <c r="D330" s="209"/>
    </row>
    <row r="331" spans="1:4" s="12" customFormat="1" ht="16.5" customHeight="1" x14ac:dyDescent="0.2">
      <c r="A331" s="113"/>
      <c r="B331" s="113"/>
      <c r="C331" s="209"/>
      <c r="D331" s="209"/>
    </row>
    <row r="332" spans="1:4" s="12" customFormat="1" ht="16.5" customHeight="1" x14ac:dyDescent="0.2">
      <c r="A332" s="113"/>
      <c r="B332" s="113"/>
      <c r="C332" s="209"/>
      <c r="D332" s="209"/>
    </row>
    <row r="333" spans="1:4" s="12" customFormat="1" ht="16.5" customHeight="1" x14ac:dyDescent="0.2">
      <c r="A333" s="113"/>
      <c r="B333" s="113"/>
      <c r="C333" s="209"/>
      <c r="D333" s="209"/>
    </row>
    <row r="334" spans="1:4" s="12" customFormat="1" ht="16.5" customHeight="1" x14ac:dyDescent="0.2">
      <c r="A334" s="113"/>
      <c r="B334" s="113"/>
      <c r="C334" s="209"/>
      <c r="D334" s="209"/>
    </row>
    <row r="335" spans="1:4" s="12" customFormat="1" ht="16.5" customHeight="1" x14ac:dyDescent="0.2">
      <c r="A335" s="113"/>
      <c r="B335" s="113"/>
      <c r="C335" s="209"/>
      <c r="D335" s="209"/>
    </row>
    <row r="336" spans="1:4" s="12" customFormat="1" ht="16.5" customHeight="1" x14ac:dyDescent="0.2">
      <c r="A336" s="113"/>
      <c r="B336" s="113"/>
      <c r="C336" s="209"/>
      <c r="D336" s="209"/>
    </row>
    <row r="337" spans="1:4" s="12" customFormat="1" ht="16.5" customHeight="1" x14ac:dyDescent="0.2">
      <c r="A337" s="113"/>
      <c r="B337" s="113"/>
      <c r="C337" s="209"/>
      <c r="D337" s="209"/>
    </row>
    <row r="338" spans="1:4" s="12" customFormat="1" ht="16.5" customHeight="1" x14ac:dyDescent="0.2">
      <c r="A338" s="113"/>
      <c r="B338" s="113"/>
      <c r="C338" s="209"/>
      <c r="D338" s="209"/>
    </row>
    <row r="339" spans="1:4" s="12" customFormat="1" ht="16.5" customHeight="1" x14ac:dyDescent="0.2">
      <c r="A339" s="113"/>
      <c r="B339" s="113"/>
      <c r="C339" s="209"/>
      <c r="D339" s="209"/>
    </row>
    <row r="340" spans="1:4" s="12" customFormat="1" ht="16.5" customHeight="1" x14ac:dyDescent="0.2">
      <c r="A340" s="113"/>
      <c r="B340" s="113"/>
      <c r="C340" s="209"/>
      <c r="D340" s="209"/>
    </row>
    <row r="341" spans="1:4" s="12" customFormat="1" ht="16.5" customHeight="1" x14ac:dyDescent="0.2">
      <c r="A341" s="113"/>
      <c r="B341" s="113"/>
      <c r="C341" s="209"/>
      <c r="D341" s="209"/>
    </row>
    <row r="342" spans="1:4" s="12" customFormat="1" ht="16.5" customHeight="1" x14ac:dyDescent="0.2">
      <c r="A342" s="113"/>
      <c r="B342" s="113"/>
      <c r="C342" s="209"/>
      <c r="D342" s="209"/>
    </row>
    <row r="343" spans="1:4" s="12" customFormat="1" ht="16.5" customHeight="1" x14ac:dyDescent="0.2">
      <c r="A343" s="113"/>
      <c r="B343" s="113"/>
      <c r="C343" s="209"/>
      <c r="D343" s="209"/>
    </row>
    <row r="344" spans="1:4" s="12" customFormat="1" ht="16.5" customHeight="1" x14ac:dyDescent="0.2">
      <c r="A344" s="113"/>
      <c r="B344" s="113"/>
      <c r="C344" s="209"/>
      <c r="D344" s="209"/>
    </row>
    <row r="345" spans="1:4" s="12" customFormat="1" ht="16.5" customHeight="1" x14ac:dyDescent="0.2">
      <c r="A345" s="113"/>
      <c r="B345" s="113"/>
      <c r="C345" s="209"/>
      <c r="D345" s="209"/>
    </row>
    <row r="346" spans="1:4" s="12" customFormat="1" ht="16.5" customHeight="1" x14ac:dyDescent="0.2">
      <c r="A346" s="113"/>
      <c r="B346" s="113"/>
      <c r="C346" s="209"/>
      <c r="D346" s="209"/>
    </row>
    <row r="347" spans="1:4" s="12" customFormat="1" ht="16.5" customHeight="1" x14ac:dyDescent="0.2">
      <c r="A347" s="113"/>
      <c r="B347" s="113"/>
      <c r="C347" s="209"/>
      <c r="D347" s="209"/>
    </row>
    <row r="348" spans="1:4" s="12" customFormat="1" ht="16.5" customHeight="1" x14ac:dyDescent="0.2">
      <c r="A348" s="113"/>
      <c r="B348" s="113"/>
      <c r="C348" s="209"/>
      <c r="D348" s="209"/>
    </row>
    <row r="349" spans="1:4" s="12" customFormat="1" ht="16.5" customHeight="1" x14ac:dyDescent="0.2">
      <c r="A349" s="113"/>
      <c r="B349" s="113"/>
      <c r="C349" s="209"/>
      <c r="D349" s="209"/>
    </row>
    <row r="350" spans="1:4" s="12" customFormat="1" ht="16.5" customHeight="1" x14ac:dyDescent="0.2">
      <c r="A350" s="113"/>
      <c r="B350" s="113"/>
      <c r="C350" s="209"/>
      <c r="D350" s="209"/>
    </row>
    <row r="351" spans="1:4" s="12" customFormat="1" ht="16.5" customHeight="1" x14ac:dyDescent="0.2">
      <c r="A351" s="113"/>
      <c r="B351" s="113"/>
      <c r="C351" s="209"/>
      <c r="D351" s="209"/>
    </row>
    <row r="352" spans="1:4" s="12" customFormat="1" ht="16.5" customHeight="1" x14ac:dyDescent="0.2">
      <c r="A352" s="113"/>
      <c r="B352" s="113"/>
      <c r="C352" s="209"/>
      <c r="D352" s="209"/>
    </row>
    <row r="353" spans="1:4" s="12" customFormat="1" ht="16.5" customHeight="1" x14ac:dyDescent="0.2">
      <c r="A353" s="113"/>
      <c r="B353" s="113"/>
      <c r="C353" s="209"/>
      <c r="D353" s="209"/>
    </row>
    <row r="354" spans="1:4" s="12" customFormat="1" ht="16.5" customHeight="1" x14ac:dyDescent="0.2">
      <c r="A354" s="113"/>
      <c r="B354" s="113"/>
      <c r="C354" s="209"/>
      <c r="D354" s="209"/>
    </row>
    <row r="355" spans="1:4" s="12" customFormat="1" ht="16.5" customHeight="1" x14ac:dyDescent="0.2">
      <c r="A355" s="113"/>
      <c r="B355" s="113"/>
      <c r="C355" s="209"/>
      <c r="D355" s="209"/>
    </row>
    <row r="356" spans="1:4" s="12" customFormat="1" ht="16.5" customHeight="1" x14ac:dyDescent="0.2">
      <c r="A356" s="113"/>
      <c r="B356" s="113"/>
      <c r="C356" s="209"/>
      <c r="D356" s="209"/>
    </row>
    <row r="357" spans="1:4" s="12" customFormat="1" ht="16.5" customHeight="1" x14ac:dyDescent="0.2">
      <c r="A357" s="113"/>
      <c r="B357" s="113"/>
      <c r="C357" s="209"/>
      <c r="D357" s="209"/>
    </row>
    <row r="358" spans="1:4" s="12" customFormat="1" ht="16.5" customHeight="1" x14ac:dyDescent="0.2">
      <c r="A358" s="113"/>
      <c r="B358" s="113"/>
      <c r="C358" s="209"/>
      <c r="D358" s="209"/>
    </row>
    <row r="359" spans="1:4" s="12" customFormat="1" ht="16.5" customHeight="1" x14ac:dyDescent="0.2">
      <c r="A359" s="113"/>
      <c r="B359" s="113"/>
      <c r="C359" s="209"/>
      <c r="D359" s="209"/>
    </row>
    <row r="360" spans="1:4" s="12" customFormat="1" ht="16.5" customHeight="1" x14ac:dyDescent="0.2">
      <c r="A360" s="113"/>
      <c r="B360" s="113"/>
      <c r="C360" s="209"/>
      <c r="D360" s="209"/>
    </row>
    <row r="361" spans="1:4" s="12" customFormat="1" ht="16.5" customHeight="1" x14ac:dyDescent="0.2">
      <c r="A361" s="113"/>
      <c r="B361" s="113"/>
      <c r="C361" s="209"/>
      <c r="D361" s="209"/>
    </row>
    <row r="362" spans="1:4" s="12" customFormat="1" ht="16.5" customHeight="1" x14ac:dyDescent="0.2">
      <c r="A362" s="113"/>
      <c r="B362" s="113"/>
      <c r="C362" s="209"/>
      <c r="D362" s="209"/>
    </row>
    <row r="363" spans="1:4" s="12" customFormat="1" ht="16.5" customHeight="1" x14ac:dyDescent="0.2">
      <c r="A363" s="113"/>
      <c r="B363" s="113"/>
      <c r="C363" s="209"/>
      <c r="D363" s="209"/>
    </row>
    <row r="364" spans="1:4" s="12" customFormat="1" ht="16.5" customHeight="1" x14ac:dyDescent="0.2">
      <c r="A364" s="113"/>
      <c r="B364" s="113"/>
      <c r="C364" s="209"/>
      <c r="D364" s="209"/>
    </row>
    <row r="365" spans="1:4" s="12" customFormat="1" ht="16.5" customHeight="1" x14ac:dyDescent="0.2">
      <c r="A365" s="113"/>
      <c r="B365" s="113"/>
      <c r="C365" s="209"/>
      <c r="D365" s="209"/>
    </row>
    <row r="366" spans="1:4" s="12" customFormat="1" ht="16.5" customHeight="1" x14ac:dyDescent="0.2">
      <c r="A366" s="113"/>
      <c r="B366" s="113"/>
      <c r="C366" s="209"/>
      <c r="D366" s="209"/>
    </row>
    <row r="367" spans="1:4" s="12" customFormat="1" ht="16.5" customHeight="1" x14ac:dyDescent="0.2">
      <c r="A367" s="113"/>
      <c r="B367" s="113"/>
      <c r="C367" s="209"/>
      <c r="D367" s="209"/>
    </row>
    <row r="368" spans="1:4" s="12" customFormat="1" ht="16.5" customHeight="1" x14ac:dyDescent="0.2">
      <c r="A368" s="113"/>
      <c r="B368" s="113"/>
      <c r="C368" s="209"/>
      <c r="D368" s="209"/>
    </row>
    <row r="369" spans="1:4" s="12" customFormat="1" ht="16.5" customHeight="1" x14ac:dyDescent="0.2">
      <c r="A369" s="113"/>
      <c r="B369" s="113"/>
      <c r="C369" s="209"/>
      <c r="D369" s="209"/>
    </row>
    <row r="370" spans="1:4" s="12" customFormat="1" ht="16.5" customHeight="1" x14ac:dyDescent="0.2">
      <c r="A370" s="113"/>
      <c r="B370" s="113"/>
      <c r="C370" s="209"/>
      <c r="D370" s="209"/>
    </row>
    <row r="371" spans="1:4" s="12" customFormat="1" ht="16.5" customHeight="1" x14ac:dyDescent="0.2">
      <c r="A371" s="113"/>
      <c r="B371" s="113"/>
      <c r="C371" s="209"/>
      <c r="D371" s="209"/>
    </row>
    <row r="372" spans="1:4" s="12" customFormat="1" ht="16.5" customHeight="1" x14ac:dyDescent="0.2">
      <c r="A372" s="113"/>
      <c r="B372" s="113"/>
      <c r="C372" s="209"/>
      <c r="D372" s="209"/>
    </row>
    <row r="373" spans="1:4" s="12" customFormat="1" ht="16.5" customHeight="1" x14ac:dyDescent="0.2">
      <c r="A373" s="113"/>
      <c r="B373" s="113"/>
      <c r="C373" s="209"/>
      <c r="D373" s="209"/>
    </row>
    <row r="374" spans="1:4" s="12" customFormat="1" ht="16.5" customHeight="1" x14ac:dyDescent="0.2">
      <c r="A374" s="113"/>
      <c r="B374" s="113"/>
      <c r="C374" s="209"/>
      <c r="D374" s="209"/>
    </row>
    <row r="375" spans="1:4" s="12" customFormat="1" ht="16.5" customHeight="1" x14ac:dyDescent="0.2">
      <c r="A375" s="113"/>
      <c r="B375" s="113"/>
      <c r="C375" s="209"/>
      <c r="D375" s="209"/>
    </row>
    <row r="376" spans="1:4" s="12" customFormat="1" ht="16.5" customHeight="1" x14ac:dyDescent="0.2">
      <c r="A376" s="113"/>
      <c r="B376" s="113"/>
      <c r="C376" s="209"/>
      <c r="D376" s="209"/>
    </row>
    <row r="377" spans="1:4" s="12" customFormat="1" ht="16.5" customHeight="1" x14ac:dyDescent="0.2">
      <c r="A377" s="113"/>
      <c r="B377" s="113"/>
      <c r="C377" s="209"/>
      <c r="D377" s="209"/>
    </row>
    <row r="378" spans="1:4" s="12" customFormat="1" ht="16.5" customHeight="1" x14ac:dyDescent="0.2">
      <c r="A378" s="113"/>
      <c r="B378" s="113"/>
      <c r="C378" s="209"/>
      <c r="D378" s="209"/>
    </row>
    <row r="379" spans="1:4" s="12" customFormat="1" ht="16.5" customHeight="1" x14ac:dyDescent="0.2">
      <c r="A379" s="113"/>
      <c r="B379" s="113"/>
      <c r="C379" s="209"/>
      <c r="D379" s="209"/>
    </row>
    <row r="380" spans="1:4" s="12" customFormat="1" ht="16.5" customHeight="1" x14ac:dyDescent="0.2">
      <c r="A380" s="113"/>
      <c r="B380" s="113"/>
      <c r="C380" s="209"/>
      <c r="D380" s="209"/>
    </row>
    <row r="381" spans="1:4" s="12" customFormat="1" ht="16.5" customHeight="1" x14ac:dyDescent="0.2">
      <c r="A381" s="113"/>
      <c r="B381" s="113"/>
      <c r="C381" s="209"/>
      <c r="D381" s="209"/>
    </row>
    <row r="382" spans="1:4" s="12" customFormat="1" ht="16.5" customHeight="1" x14ac:dyDescent="0.2">
      <c r="A382" s="113"/>
      <c r="B382" s="113"/>
      <c r="C382" s="209"/>
      <c r="D382" s="209"/>
    </row>
    <row r="383" spans="1:4" s="12" customFormat="1" ht="16.5" customHeight="1" x14ac:dyDescent="0.2">
      <c r="A383" s="113"/>
      <c r="B383" s="113"/>
      <c r="C383" s="209"/>
      <c r="D383" s="209"/>
    </row>
    <row r="384" spans="1:4" s="12" customFormat="1" ht="16.5" customHeight="1" x14ac:dyDescent="0.2">
      <c r="A384" s="113"/>
      <c r="B384" s="113"/>
      <c r="C384" s="209"/>
      <c r="D384" s="209"/>
    </row>
    <row r="385" spans="1:4" s="12" customFormat="1" ht="16.5" customHeight="1" x14ac:dyDescent="0.2">
      <c r="A385" s="113"/>
      <c r="B385" s="113"/>
      <c r="C385" s="209"/>
      <c r="D385" s="209"/>
    </row>
    <row r="386" spans="1:4" s="12" customFormat="1" ht="16.5" customHeight="1" x14ac:dyDescent="0.2">
      <c r="A386" s="113"/>
      <c r="B386" s="113"/>
      <c r="C386" s="209"/>
      <c r="D386" s="209"/>
    </row>
    <row r="387" spans="1:4" s="12" customFormat="1" ht="16.5" customHeight="1" x14ac:dyDescent="0.2">
      <c r="A387" s="113"/>
      <c r="B387" s="113"/>
      <c r="C387" s="209"/>
      <c r="D387" s="209"/>
    </row>
    <row r="388" spans="1:4" s="12" customFormat="1" ht="16.5" customHeight="1" x14ac:dyDescent="0.2">
      <c r="A388" s="113"/>
      <c r="B388" s="113"/>
      <c r="C388" s="209"/>
      <c r="D388" s="209"/>
    </row>
    <row r="389" spans="1:4" s="12" customFormat="1" ht="16.5" customHeight="1" x14ac:dyDescent="0.2">
      <c r="A389" s="113"/>
      <c r="B389" s="113"/>
      <c r="C389" s="209"/>
      <c r="D389" s="209"/>
    </row>
    <row r="390" spans="1:4" s="12" customFormat="1" ht="16.5" customHeight="1" x14ac:dyDescent="0.2">
      <c r="A390" s="113"/>
      <c r="B390" s="113"/>
      <c r="C390" s="209"/>
      <c r="D390" s="209"/>
    </row>
    <row r="391" spans="1:4" s="12" customFormat="1" ht="16.5" customHeight="1" x14ac:dyDescent="0.2">
      <c r="A391" s="113"/>
      <c r="B391" s="113"/>
      <c r="C391" s="209"/>
      <c r="D391" s="209"/>
    </row>
    <row r="392" spans="1:4" s="12" customFormat="1" ht="16.5" customHeight="1" x14ac:dyDescent="0.2">
      <c r="A392" s="113"/>
      <c r="B392" s="113"/>
      <c r="C392" s="209"/>
      <c r="D392" s="209"/>
    </row>
    <row r="393" spans="1:4" s="12" customFormat="1" ht="16.5" customHeight="1" x14ac:dyDescent="0.2">
      <c r="A393" s="113"/>
      <c r="B393" s="113"/>
      <c r="C393" s="209"/>
      <c r="D393" s="209"/>
    </row>
    <row r="394" spans="1:4" s="12" customFormat="1" ht="16.5" customHeight="1" x14ac:dyDescent="0.2">
      <c r="A394" s="113"/>
      <c r="B394" s="113"/>
      <c r="C394" s="209"/>
      <c r="D394" s="209"/>
    </row>
    <row r="395" spans="1:4" s="12" customFormat="1" ht="16.5" customHeight="1" x14ac:dyDescent="0.2">
      <c r="A395" s="113"/>
      <c r="B395" s="113"/>
      <c r="C395" s="209"/>
      <c r="D395" s="209"/>
    </row>
    <row r="396" spans="1:4" s="12" customFormat="1" ht="16.5" customHeight="1" x14ac:dyDescent="0.2">
      <c r="A396" s="113"/>
      <c r="B396" s="113"/>
      <c r="C396" s="209"/>
      <c r="D396" s="209"/>
    </row>
    <row r="397" spans="1:4" s="12" customFormat="1" ht="16.5" customHeight="1" x14ac:dyDescent="0.2">
      <c r="A397" s="113"/>
      <c r="B397" s="113"/>
      <c r="C397" s="209"/>
      <c r="D397" s="209"/>
    </row>
    <row r="398" spans="1:4" s="12" customFormat="1" ht="16.5" customHeight="1" x14ac:dyDescent="0.2">
      <c r="A398" s="113"/>
      <c r="B398" s="113"/>
      <c r="C398" s="209"/>
      <c r="D398" s="209"/>
    </row>
    <row r="399" spans="1:4" s="12" customFormat="1" ht="16.5" customHeight="1" x14ac:dyDescent="0.2">
      <c r="A399" s="113"/>
      <c r="B399" s="113"/>
      <c r="C399" s="209"/>
      <c r="D399" s="209"/>
    </row>
    <row r="400" spans="1:4" s="12" customFormat="1" ht="16.5" customHeight="1" x14ac:dyDescent="0.2">
      <c r="A400" s="113"/>
      <c r="B400" s="113"/>
      <c r="C400" s="209"/>
      <c r="D400" s="209"/>
    </row>
    <row r="401" spans="1:4" s="12" customFormat="1" ht="16.5" customHeight="1" x14ac:dyDescent="0.2">
      <c r="A401" s="113"/>
      <c r="B401" s="113"/>
      <c r="C401" s="209"/>
      <c r="D401" s="209"/>
    </row>
    <row r="402" spans="1:4" s="12" customFormat="1" ht="16.5" customHeight="1" x14ac:dyDescent="0.2">
      <c r="A402" s="113"/>
      <c r="B402" s="113"/>
      <c r="C402" s="209"/>
      <c r="D402" s="209"/>
    </row>
    <row r="403" spans="1:4" s="12" customFormat="1" ht="16.5" customHeight="1" x14ac:dyDescent="0.2">
      <c r="A403" s="113"/>
      <c r="B403" s="113"/>
      <c r="C403" s="209"/>
      <c r="D403" s="209"/>
    </row>
    <row r="404" spans="1:4" s="12" customFormat="1" ht="16.5" customHeight="1" x14ac:dyDescent="0.2">
      <c r="A404" s="113"/>
      <c r="B404" s="113"/>
      <c r="C404" s="209"/>
      <c r="D404" s="209"/>
    </row>
    <row r="405" spans="1:4" s="12" customFormat="1" ht="16.5" customHeight="1" x14ac:dyDescent="0.2">
      <c r="A405" s="113"/>
      <c r="B405" s="113"/>
      <c r="C405" s="209"/>
      <c r="D405" s="209"/>
    </row>
    <row r="406" spans="1:4" s="12" customFormat="1" ht="16.5" customHeight="1" x14ac:dyDescent="0.2">
      <c r="A406" s="113"/>
      <c r="B406" s="113"/>
      <c r="C406" s="209"/>
      <c r="D406" s="209"/>
    </row>
    <row r="407" spans="1:4" s="12" customFormat="1" ht="16.5" customHeight="1" x14ac:dyDescent="0.2">
      <c r="A407" s="113"/>
      <c r="B407" s="113"/>
      <c r="C407" s="209"/>
      <c r="D407" s="209"/>
    </row>
    <row r="408" spans="1:4" s="12" customFormat="1" ht="16.5" customHeight="1" x14ac:dyDescent="0.2">
      <c r="A408" s="113"/>
      <c r="B408" s="113"/>
      <c r="C408" s="209"/>
      <c r="D408" s="209"/>
    </row>
    <row r="409" spans="1:4" s="12" customFormat="1" ht="16.5" customHeight="1" x14ac:dyDescent="0.2">
      <c r="A409" s="113"/>
      <c r="B409" s="113"/>
      <c r="C409" s="209"/>
      <c r="D409" s="209"/>
    </row>
    <row r="410" spans="1:4" s="12" customFormat="1" ht="16.5" customHeight="1" x14ac:dyDescent="0.2">
      <c r="A410" s="113"/>
      <c r="B410" s="113"/>
      <c r="C410" s="209"/>
      <c r="D410" s="209"/>
    </row>
    <row r="411" spans="1:4" s="12" customFormat="1" ht="16.5" customHeight="1" x14ac:dyDescent="0.2">
      <c r="A411" s="113"/>
      <c r="B411" s="113"/>
      <c r="C411" s="209"/>
      <c r="D411" s="209"/>
    </row>
    <row r="412" spans="1:4" s="12" customFormat="1" ht="16.5" customHeight="1" x14ac:dyDescent="0.2">
      <c r="A412" s="113"/>
      <c r="B412" s="113"/>
      <c r="C412" s="209"/>
      <c r="D412" s="209"/>
    </row>
    <row r="413" spans="1:4" s="12" customFormat="1" ht="16.5" customHeight="1" x14ac:dyDescent="0.2">
      <c r="A413" s="113"/>
      <c r="B413" s="113"/>
      <c r="C413" s="209"/>
      <c r="D413" s="209"/>
    </row>
    <row r="414" spans="1:4" s="12" customFormat="1" ht="16.5" customHeight="1" x14ac:dyDescent="0.2">
      <c r="A414" s="113"/>
      <c r="B414" s="113"/>
      <c r="C414" s="209"/>
      <c r="D414" s="209"/>
    </row>
    <row r="415" spans="1:4" s="12" customFormat="1" ht="16.5" customHeight="1" x14ac:dyDescent="0.2">
      <c r="A415" s="113"/>
      <c r="B415" s="113"/>
      <c r="C415" s="209"/>
      <c r="D415" s="209"/>
    </row>
    <row r="416" spans="1:4" s="12" customFormat="1" ht="16.5" customHeight="1" x14ac:dyDescent="0.2">
      <c r="A416" s="113"/>
      <c r="B416" s="113"/>
      <c r="C416" s="209"/>
      <c r="D416" s="209"/>
    </row>
    <row r="417" spans="1:4" s="12" customFormat="1" ht="16.5" customHeight="1" x14ac:dyDescent="0.2">
      <c r="A417" s="113"/>
      <c r="B417" s="113"/>
      <c r="C417" s="209"/>
      <c r="D417" s="209"/>
    </row>
    <row r="418" spans="1:4" s="12" customFormat="1" ht="16.5" customHeight="1" x14ac:dyDescent="0.2">
      <c r="A418" s="113"/>
      <c r="B418" s="113"/>
      <c r="C418" s="209"/>
      <c r="D418" s="209"/>
    </row>
    <row r="419" spans="1:4" s="12" customFormat="1" ht="16.5" customHeight="1" x14ac:dyDescent="0.2">
      <c r="A419" s="113"/>
      <c r="B419" s="113"/>
      <c r="C419" s="209"/>
      <c r="D419" s="209"/>
    </row>
    <row r="420" spans="1:4" s="12" customFormat="1" ht="16.5" customHeight="1" x14ac:dyDescent="0.2">
      <c r="A420" s="113"/>
      <c r="B420" s="113"/>
      <c r="C420" s="209"/>
      <c r="D420" s="209"/>
    </row>
    <row r="421" spans="1:4" s="12" customFormat="1" ht="16.5" customHeight="1" x14ac:dyDescent="0.2">
      <c r="A421" s="113"/>
      <c r="B421" s="113"/>
      <c r="C421" s="209"/>
      <c r="D421" s="209"/>
    </row>
    <row r="422" spans="1:4" s="12" customFormat="1" ht="16.5" customHeight="1" x14ac:dyDescent="0.2">
      <c r="A422" s="113"/>
      <c r="B422" s="113"/>
      <c r="C422" s="209"/>
      <c r="D422" s="209"/>
    </row>
    <row r="423" spans="1:4" s="12" customFormat="1" ht="16.5" customHeight="1" x14ac:dyDescent="0.2">
      <c r="A423" s="113"/>
      <c r="B423" s="113"/>
      <c r="C423" s="209"/>
      <c r="D423" s="209"/>
    </row>
    <row r="424" spans="1:4" s="12" customFormat="1" ht="16.5" customHeight="1" x14ac:dyDescent="0.2">
      <c r="A424" s="113"/>
      <c r="B424" s="113"/>
      <c r="C424" s="209"/>
      <c r="D424" s="209"/>
    </row>
    <row r="425" spans="1:4" s="12" customFormat="1" ht="16.5" customHeight="1" x14ac:dyDescent="0.2">
      <c r="A425" s="113"/>
      <c r="B425" s="113"/>
      <c r="C425" s="209"/>
      <c r="D425" s="209"/>
    </row>
    <row r="426" spans="1:4" s="12" customFormat="1" ht="16.5" customHeight="1" x14ac:dyDescent="0.2">
      <c r="A426" s="113"/>
      <c r="B426" s="113"/>
      <c r="C426" s="209"/>
      <c r="D426" s="209"/>
    </row>
    <row r="427" spans="1:4" s="12" customFormat="1" ht="16.5" customHeight="1" x14ac:dyDescent="0.2">
      <c r="A427" s="113"/>
      <c r="B427" s="113"/>
      <c r="C427" s="209"/>
      <c r="D427" s="209"/>
    </row>
    <row r="428" spans="1:4" s="12" customFormat="1" ht="16.5" customHeight="1" x14ac:dyDescent="0.2">
      <c r="A428" s="113"/>
      <c r="B428" s="113"/>
      <c r="C428" s="209"/>
      <c r="D428" s="209"/>
    </row>
    <row r="429" spans="1:4" s="12" customFormat="1" ht="16.5" customHeight="1" x14ac:dyDescent="0.2">
      <c r="A429" s="113"/>
      <c r="B429" s="113"/>
      <c r="C429" s="209"/>
      <c r="D429" s="209"/>
    </row>
    <row r="430" spans="1:4" s="12" customFormat="1" ht="16.5" customHeight="1" x14ac:dyDescent="0.2">
      <c r="A430" s="113"/>
      <c r="B430" s="113"/>
      <c r="C430" s="209"/>
      <c r="D430" s="209"/>
    </row>
    <row r="431" spans="1:4" s="12" customFormat="1" ht="16.5" customHeight="1" x14ac:dyDescent="0.2">
      <c r="A431" s="113"/>
      <c r="B431" s="113"/>
      <c r="C431" s="209"/>
      <c r="D431" s="209"/>
    </row>
    <row r="432" spans="1:4" s="12" customFormat="1" ht="16.5" customHeight="1" x14ac:dyDescent="0.2">
      <c r="A432" s="113"/>
      <c r="B432" s="113"/>
      <c r="C432" s="209"/>
      <c r="D432" s="209"/>
    </row>
    <row r="433" spans="1:4" s="12" customFormat="1" ht="16.5" customHeight="1" x14ac:dyDescent="0.2">
      <c r="A433" s="113"/>
      <c r="B433" s="113"/>
      <c r="C433" s="209"/>
      <c r="D433" s="209"/>
    </row>
    <row r="434" spans="1:4" s="12" customFormat="1" ht="16.5" customHeight="1" x14ac:dyDescent="0.2">
      <c r="A434" s="113"/>
      <c r="B434" s="113"/>
      <c r="C434" s="209"/>
      <c r="D434" s="209"/>
    </row>
    <row r="435" spans="1:4" s="12" customFormat="1" ht="16.5" customHeight="1" x14ac:dyDescent="0.2">
      <c r="A435" s="113"/>
      <c r="B435" s="113"/>
      <c r="C435" s="209"/>
      <c r="D435" s="209"/>
    </row>
    <row r="436" spans="1:4" s="12" customFormat="1" ht="16.5" customHeight="1" x14ac:dyDescent="0.2">
      <c r="A436" s="113"/>
      <c r="B436" s="113"/>
      <c r="C436" s="209"/>
      <c r="D436" s="209"/>
    </row>
    <row r="437" spans="1:4" s="12" customFormat="1" ht="16.5" customHeight="1" x14ac:dyDescent="0.2">
      <c r="A437" s="113"/>
      <c r="B437" s="113"/>
      <c r="C437" s="209"/>
      <c r="D437" s="209"/>
    </row>
    <row r="438" spans="1:4" s="12" customFormat="1" ht="16.5" customHeight="1" x14ac:dyDescent="0.2">
      <c r="A438" s="113"/>
      <c r="B438" s="113"/>
      <c r="C438" s="209"/>
      <c r="D438" s="209"/>
    </row>
    <row r="439" spans="1:4" s="12" customFormat="1" ht="16.5" customHeight="1" x14ac:dyDescent="0.2">
      <c r="A439" s="113"/>
      <c r="B439" s="113"/>
      <c r="C439" s="209"/>
      <c r="D439" s="209"/>
    </row>
    <row r="440" spans="1:4" s="12" customFormat="1" ht="16.5" customHeight="1" x14ac:dyDescent="0.2">
      <c r="A440" s="113"/>
      <c r="B440" s="113"/>
      <c r="C440" s="209"/>
      <c r="D440" s="209"/>
    </row>
    <row r="441" spans="1:4" s="12" customFormat="1" ht="16.5" customHeight="1" x14ac:dyDescent="0.2">
      <c r="A441" s="113"/>
      <c r="B441" s="113"/>
      <c r="C441" s="209"/>
      <c r="D441" s="209"/>
    </row>
    <row r="442" spans="1:4" s="12" customFormat="1" ht="16.5" customHeight="1" x14ac:dyDescent="0.2">
      <c r="A442" s="113"/>
      <c r="B442" s="113"/>
      <c r="C442" s="209"/>
      <c r="D442" s="209"/>
    </row>
    <row r="443" spans="1:4" s="12" customFormat="1" ht="16.5" customHeight="1" x14ac:dyDescent="0.2">
      <c r="A443" s="113"/>
      <c r="B443" s="113"/>
      <c r="C443" s="209"/>
      <c r="D443" s="209"/>
    </row>
    <row r="444" spans="1:4" s="12" customFormat="1" ht="16.5" customHeight="1" x14ac:dyDescent="0.2">
      <c r="A444" s="113"/>
      <c r="B444" s="113"/>
      <c r="C444" s="209"/>
      <c r="D444" s="209"/>
    </row>
    <row r="445" spans="1:4" s="12" customFormat="1" ht="16.5" customHeight="1" x14ac:dyDescent="0.2">
      <c r="A445" s="113"/>
      <c r="B445" s="113"/>
      <c r="C445" s="209"/>
      <c r="D445" s="209"/>
    </row>
    <row r="446" spans="1:4" s="12" customFormat="1" ht="16.5" customHeight="1" x14ac:dyDescent="0.2">
      <c r="A446" s="113"/>
      <c r="B446" s="113"/>
      <c r="C446" s="209"/>
      <c r="D446" s="209"/>
    </row>
    <row r="447" spans="1:4" s="12" customFormat="1" ht="16.5" customHeight="1" x14ac:dyDescent="0.2">
      <c r="A447" s="113"/>
      <c r="B447" s="113"/>
      <c r="C447" s="209"/>
      <c r="D447" s="209"/>
    </row>
    <row r="448" spans="1:4" s="12" customFormat="1" ht="16.5" customHeight="1" x14ac:dyDescent="0.2">
      <c r="A448" s="113"/>
      <c r="B448" s="113"/>
      <c r="C448" s="209"/>
      <c r="D448" s="209"/>
    </row>
    <row r="449" spans="1:4" s="12" customFormat="1" ht="16.5" customHeight="1" x14ac:dyDescent="0.2">
      <c r="A449" s="113"/>
      <c r="B449" s="113"/>
      <c r="C449" s="209"/>
      <c r="D449" s="209"/>
    </row>
    <row r="450" spans="1:4" s="12" customFormat="1" ht="16.5" customHeight="1" x14ac:dyDescent="0.2">
      <c r="A450" s="113"/>
      <c r="B450" s="113"/>
      <c r="C450" s="209"/>
      <c r="D450" s="209"/>
    </row>
    <row r="451" spans="1:4" s="12" customFormat="1" ht="16.5" customHeight="1" x14ac:dyDescent="0.2">
      <c r="A451" s="113"/>
      <c r="B451" s="113"/>
      <c r="C451" s="209"/>
      <c r="D451" s="209"/>
    </row>
    <row r="452" spans="1:4" s="12" customFormat="1" ht="16.5" customHeight="1" x14ac:dyDescent="0.2">
      <c r="A452" s="113"/>
      <c r="B452" s="113"/>
      <c r="C452" s="209"/>
      <c r="D452" s="209"/>
    </row>
    <row r="453" spans="1:4" s="12" customFormat="1" ht="16.5" customHeight="1" x14ac:dyDescent="0.2">
      <c r="A453" s="113"/>
      <c r="B453" s="113"/>
      <c r="C453" s="209"/>
      <c r="D453" s="209"/>
    </row>
    <row r="454" spans="1:4" s="12" customFormat="1" ht="16.5" customHeight="1" x14ac:dyDescent="0.2">
      <c r="A454" s="113"/>
      <c r="B454" s="113"/>
      <c r="C454" s="209"/>
      <c r="D454" s="209"/>
    </row>
    <row r="455" spans="1:4" s="12" customFormat="1" ht="16.5" customHeight="1" x14ac:dyDescent="0.2">
      <c r="A455" s="113"/>
      <c r="B455" s="113"/>
      <c r="C455" s="209"/>
      <c r="D455" s="209"/>
    </row>
    <row r="456" spans="1:4" s="12" customFormat="1" ht="16.5" customHeight="1" x14ac:dyDescent="0.2">
      <c r="A456" s="113"/>
      <c r="B456" s="113"/>
      <c r="C456" s="209"/>
      <c r="D456" s="209"/>
    </row>
    <row r="457" spans="1:4" s="12" customFormat="1" ht="16.5" customHeight="1" x14ac:dyDescent="0.2">
      <c r="A457" s="113"/>
      <c r="B457" s="113"/>
      <c r="C457" s="209"/>
      <c r="D457" s="209"/>
    </row>
    <row r="458" spans="1:4" s="12" customFormat="1" ht="16.5" customHeight="1" x14ac:dyDescent="0.2">
      <c r="A458" s="113"/>
      <c r="B458" s="113"/>
      <c r="C458" s="209"/>
      <c r="D458" s="209"/>
    </row>
    <row r="459" spans="1:4" s="12" customFormat="1" ht="16.5" customHeight="1" x14ac:dyDescent="0.2">
      <c r="A459" s="113"/>
      <c r="B459" s="113"/>
      <c r="C459" s="209"/>
      <c r="D459" s="209"/>
    </row>
    <row r="460" spans="1:4" s="12" customFormat="1" ht="16.5" customHeight="1" x14ac:dyDescent="0.2">
      <c r="A460" s="113"/>
      <c r="B460" s="113"/>
      <c r="C460" s="209"/>
      <c r="D460" s="209"/>
    </row>
    <row r="461" spans="1:4" s="12" customFormat="1" ht="16.5" customHeight="1" x14ac:dyDescent="0.2">
      <c r="A461" s="113"/>
      <c r="B461" s="113"/>
      <c r="C461" s="209"/>
      <c r="D461" s="209"/>
    </row>
    <row r="462" spans="1:4" s="12" customFormat="1" ht="16.5" customHeight="1" x14ac:dyDescent="0.2">
      <c r="A462" s="113"/>
      <c r="B462" s="113"/>
      <c r="C462" s="209"/>
      <c r="D462" s="209"/>
    </row>
    <row r="463" spans="1:4" s="12" customFormat="1" ht="16.5" customHeight="1" x14ac:dyDescent="0.2">
      <c r="A463" s="113"/>
      <c r="B463" s="113"/>
      <c r="C463" s="209"/>
      <c r="D463" s="209"/>
    </row>
    <row r="464" spans="1:4" s="12" customFormat="1" ht="16.5" customHeight="1" x14ac:dyDescent="0.2">
      <c r="A464" s="113"/>
      <c r="B464" s="113"/>
      <c r="C464" s="209"/>
      <c r="D464" s="209"/>
    </row>
    <row r="465" spans="1:4" s="12" customFormat="1" ht="16.5" customHeight="1" x14ac:dyDescent="0.2">
      <c r="A465" s="113"/>
      <c r="B465" s="113"/>
      <c r="C465" s="209"/>
      <c r="D465" s="209"/>
    </row>
    <row r="466" spans="1:4" s="12" customFormat="1" ht="16.5" customHeight="1" x14ac:dyDescent="0.2">
      <c r="A466" s="113"/>
      <c r="B466" s="113"/>
      <c r="C466" s="209"/>
      <c r="D466" s="209"/>
    </row>
    <row r="467" spans="1:4" s="12" customFormat="1" ht="16.5" customHeight="1" x14ac:dyDescent="0.2">
      <c r="A467" s="113"/>
      <c r="B467" s="113"/>
      <c r="C467" s="209"/>
      <c r="D467" s="209"/>
    </row>
    <row r="468" spans="1:4" s="12" customFormat="1" ht="16.5" customHeight="1" x14ac:dyDescent="0.2">
      <c r="A468" s="113"/>
      <c r="B468" s="113"/>
      <c r="C468" s="209"/>
      <c r="D468" s="209"/>
    </row>
    <row r="469" spans="1:4" s="12" customFormat="1" ht="16.5" customHeight="1" x14ac:dyDescent="0.2">
      <c r="A469" s="113"/>
      <c r="B469" s="113"/>
      <c r="C469" s="209"/>
      <c r="D469" s="209"/>
    </row>
    <row r="470" spans="1:4" s="12" customFormat="1" ht="16.5" customHeight="1" x14ac:dyDescent="0.2">
      <c r="A470" s="113"/>
      <c r="B470" s="113"/>
      <c r="C470" s="209"/>
      <c r="D470" s="209"/>
    </row>
    <row r="471" spans="1:4" s="12" customFormat="1" ht="16.5" customHeight="1" x14ac:dyDescent="0.2">
      <c r="A471" s="113"/>
      <c r="B471" s="113"/>
      <c r="C471" s="209"/>
      <c r="D471" s="209"/>
    </row>
    <row r="472" spans="1:4" s="12" customFormat="1" ht="16.5" customHeight="1" x14ac:dyDescent="0.2">
      <c r="A472" s="113"/>
      <c r="B472" s="113"/>
      <c r="C472" s="209"/>
      <c r="D472" s="209"/>
    </row>
    <row r="473" spans="1:4" s="12" customFormat="1" ht="16.5" customHeight="1" x14ac:dyDescent="0.2">
      <c r="A473" s="113"/>
      <c r="B473" s="113"/>
      <c r="C473" s="209"/>
      <c r="D473" s="209"/>
    </row>
    <row r="474" spans="1:4" s="12" customFormat="1" ht="16.5" customHeight="1" x14ac:dyDescent="0.2">
      <c r="A474" s="113"/>
      <c r="B474" s="113"/>
      <c r="C474" s="209"/>
      <c r="D474" s="209"/>
    </row>
    <row r="475" spans="1:4" s="12" customFormat="1" ht="16.5" customHeight="1" x14ac:dyDescent="0.2">
      <c r="A475" s="113"/>
      <c r="B475" s="113"/>
      <c r="C475" s="209"/>
      <c r="D475" s="209"/>
    </row>
    <row r="476" spans="1:4" s="12" customFormat="1" ht="16.5" customHeight="1" x14ac:dyDescent="0.2">
      <c r="A476" s="113"/>
      <c r="B476" s="113"/>
      <c r="C476" s="209"/>
      <c r="D476" s="209"/>
    </row>
    <row r="477" spans="1:4" s="12" customFormat="1" ht="16.5" customHeight="1" x14ac:dyDescent="0.2">
      <c r="A477" s="113"/>
      <c r="B477" s="113"/>
      <c r="C477" s="209"/>
      <c r="D477" s="209"/>
    </row>
    <row r="478" spans="1:4" s="12" customFormat="1" ht="16.5" customHeight="1" x14ac:dyDescent="0.2">
      <c r="A478" s="113"/>
      <c r="B478" s="113"/>
      <c r="C478" s="209"/>
      <c r="D478" s="209"/>
    </row>
    <row r="479" spans="1:4" s="12" customFormat="1" ht="16.5" customHeight="1" x14ac:dyDescent="0.2">
      <c r="A479" s="113"/>
      <c r="B479" s="113"/>
      <c r="C479" s="209"/>
      <c r="D479" s="209"/>
    </row>
    <row r="480" spans="1:4" s="12" customFormat="1" ht="16.5" customHeight="1" x14ac:dyDescent="0.2">
      <c r="A480" s="113"/>
      <c r="B480" s="113"/>
      <c r="C480" s="209"/>
      <c r="D480" s="209"/>
    </row>
    <row r="481" spans="1:4" s="12" customFormat="1" ht="16.5" customHeight="1" x14ac:dyDescent="0.2">
      <c r="A481" s="113"/>
      <c r="B481" s="113"/>
      <c r="C481" s="209"/>
      <c r="D481" s="209"/>
    </row>
    <row r="482" spans="1:4" s="12" customFormat="1" ht="16.5" customHeight="1" x14ac:dyDescent="0.2">
      <c r="A482" s="113"/>
      <c r="B482" s="113"/>
      <c r="C482" s="209"/>
      <c r="D482" s="209"/>
    </row>
    <row r="483" spans="1:4" s="12" customFormat="1" ht="16.5" customHeight="1" x14ac:dyDescent="0.2">
      <c r="A483" s="113"/>
      <c r="B483" s="113"/>
      <c r="C483" s="209"/>
      <c r="D483" s="209"/>
    </row>
    <row r="484" spans="1:4" s="12" customFormat="1" ht="16.5" customHeight="1" x14ac:dyDescent="0.2">
      <c r="A484" s="113"/>
      <c r="B484" s="113"/>
      <c r="C484" s="209"/>
      <c r="D484" s="209"/>
    </row>
    <row r="485" spans="1:4" s="12" customFormat="1" ht="16.5" customHeight="1" x14ac:dyDescent="0.2">
      <c r="A485" s="113"/>
      <c r="B485" s="113"/>
      <c r="C485" s="209"/>
      <c r="D485" s="209"/>
    </row>
    <row r="486" spans="1:4" s="12" customFormat="1" ht="16.5" customHeight="1" x14ac:dyDescent="0.2">
      <c r="A486" s="113"/>
      <c r="B486" s="113"/>
      <c r="C486" s="209"/>
      <c r="D486" s="209"/>
    </row>
    <row r="487" spans="1:4" s="12" customFormat="1" ht="16.5" customHeight="1" x14ac:dyDescent="0.2">
      <c r="A487" s="113"/>
      <c r="B487" s="113"/>
      <c r="C487" s="209"/>
      <c r="D487" s="209"/>
    </row>
    <row r="488" spans="1:4" s="12" customFormat="1" ht="16.5" customHeight="1" x14ac:dyDescent="0.2">
      <c r="A488" s="113"/>
      <c r="B488" s="113"/>
      <c r="C488" s="209"/>
      <c r="D488" s="209"/>
    </row>
    <row r="489" spans="1:4" s="12" customFormat="1" ht="16.5" customHeight="1" x14ac:dyDescent="0.2">
      <c r="A489" s="113"/>
      <c r="B489" s="113"/>
      <c r="C489" s="209"/>
      <c r="D489" s="209"/>
    </row>
    <row r="490" spans="1:4" s="12" customFormat="1" ht="16.5" customHeight="1" x14ac:dyDescent="0.2">
      <c r="A490" s="113"/>
      <c r="B490" s="113"/>
      <c r="C490" s="209"/>
      <c r="D490" s="209"/>
    </row>
    <row r="491" spans="1:4" s="12" customFormat="1" ht="16.5" customHeight="1" x14ac:dyDescent="0.2">
      <c r="A491" s="113"/>
      <c r="B491" s="113"/>
      <c r="C491" s="209"/>
      <c r="D491" s="209"/>
    </row>
    <row r="492" spans="1:4" s="12" customFormat="1" ht="16.5" customHeight="1" x14ac:dyDescent="0.2">
      <c r="A492" s="113"/>
      <c r="B492" s="113"/>
      <c r="C492" s="209"/>
      <c r="D492" s="209"/>
    </row>
    <row r="493" spans="1:4" s="12" customFormat="1" ht="16.5" customHeight="1" x14ac:dyDescent="0.2">
      <c r="A493" s="113"/>
      <c r="B493" s="113"/>
      <c r="C493" s="209"/>
      <c r="D493" s="209"/>
    </row>
    <row r="494" spans="1:4" s="12" customFormat="1" ht="16.5" customHeight="1" x14ac:dyDescent="0.2">
      <c r="A494" s="113"/>
      <c r="B494" s="113"/>
      <c r="C494" s="209"/>
      <c r="D494" s="209"/>
    </row>
    <row r="495" spans="1:4" s="12" customFormat="1" ht="16.5" customHeight="1" x14ac:dyDescent="0.2">
      <c r="A495" s="113"/>
      <c r="B495" s="113"/>
      <c r="C495" s="209"/>
      <c r="D495" s="209"/>
    </row>
    <row r="496" spans="1:4" s="12" customFormat="1" ht="16.5" customHeight="1" x14ac:dyDescent="0.2">
      <c r="A496" s="113"/>
      <c r="B496" s="113"/>
      <c r="C496" s="209"/>
      <c r="D496" s="209"/>
    </row>
    <row r="497" spans="1:4" s="12" customFormat="1" ht="16.5" customHeight="1" x14ac:dyDescent="0.2">
      <c r="A497" s="113"/>
      <c r="B497" s="113"/>
      <c r="C497" s="209"/>
      <c r="D497" s="209"/>
    </row>
    <row r="498" spans="1:4" s="12" customFormat="1" ht="16.5" customHeight="1" x14ac:dyDescent="0.2">
      <c r="A498" s="113"/>
      <c r="B498" s="113"/>
      <c r="C498" s="209"/>
      <c r="D498" s="209"/>
    </row>
    <row r="499" spans="1:4" s="12" customFormat="1" ht="16.5" customHeight="1" x14ac:dyDescent="0.2">
      <c r="A499" s="113"/>
      <c r="B499" s="113"/>
      <c r="C499" s="209"/>
      <c r="D499" s="209"/>
    </row>
    <row r="500" spans="1:4" s="12" customFormat="1" ht="16.5" customHeight="1" x14ac:dyDescent="0.2">
      <c r="A500" s="113"/>
      <c r="B500" s="113"/>
      <c r="C500" s="209"/>
      <c r="D500" s="209"/>
    </row>
    <row r="501" spans="1:4" s="12" customFormat="1" ht="16.5" customHeight="1" x14ac:dyDescent="0.2">
      <c r="A501" s="113"/>
      <c r="B501" s="113"/>
      <c r="C501" s="209"/>
      <c r="D501" s="209"/>
    </row>
    <row r="502" spans="1:4" s="12" customFormat="1" ht="16.5" customHeight="1" x14ac:dyDescent="0.2">
      <c r="A502" s="113"/>
      <c r="B502" s="113"/>
      <c r="C502" s="209"/>
      <c r="D502" s="209"/>
    </row>
    <row r="503" spans="1:4" s="12" customFormat="1" ht="16.5" customHeight="1" x14ac:dyDescent="0.2">
      <c r="A503" s="113"/>
      <c r="B503" s="113"/>
      <c r="C503" s="209"/>
      <c r="D503" s="209"/>
    </row>
    <row r="504" spans="1:4" s="12" customFormat="1" ht="16.5" customHeight="1" x14ac:dyDescent="0.2">
      <c r="A504" s="113"/>
      <c r="B504" s="113"/>
      <c r="C504" s="209"/>
      <c r="D504" s="209"/>
    </row>
    <row r="505" spans="1:4" s="12" customFormat="1" ht="16.5" customHeight="1" x14ac:dyDescent="0.2">
      <c r="A505" s="113"/>
      <c r="B505" s="113"/>
      <c r="C505" s="209"/>
      <c r="D505" s="209"/>
    </row>
    <row r="506" spans="1:4" s="12" customFormat="1" ht="16.5" customHeight="1" x14ac:dyDescent="0.2">
      <c r="A506" s="113"/>
      <c r="B506" s="113"/>
      <c r="C506" s="209"/>
      <c r="D506" s="209"/>
    </row>
    <row r="507" spans="1:4" s="12" customFormat="1" ht="16.5" customHeight="1" x14ac:dyDescent="0.2">
      <c r="A507" s="113"/>
      <c r="B507" s="113"/>
      <c r="C507" s="209"/>
      <c r="D507" s="209"/>
    </row>
    <row r="508" spans="1:4" s="12" customFormat="1" ht="16.5" customHeight="1" x14ac:dyDescent="0.2">
      <c r="A508" s="113"/>
      <c r="B508" s="113"/>
      <c r="C508" s="209"/>
      <c r="D508" s="209"/>
    </row>
    <row r="509" spans="1:4" s="12" customFormat="1" ht="16.5" customHeight="1" x14ac:dyDescent="0.2">
      <c r="A509" s="113"/>
      <c r="B509" s="113"/>
      <c r="C509" s="209"/>
      <c r="D509" s="209"/>
    </row>
    <row r="510" spans="1:4" s="12" customFormat="1" ht="16.5" customHeight="1" x14ac:dyDescent="0.2">
      <c r="A510" s="113"/>
      <c r="B510" s="113"/>
      <c r="C510" s="209"/>
      <c r="D510" s="209"/>
    </row>
    <row r="511" spans="1:4" s="12" customFormat="1" ht="16.5" customHeight="1" x14ac:dyDescent="0.2">
      <c r="A511" s="113"/>
      <c r="B511" s="113"/>
      <c r="C511" s="209"/>
      <c r="D511" s="209"/>
    </row>
    <row r="512" spans="1:4" s="12" customFormat="1" ht="16.5" customHeight="1" x14ac:dyDescent="0.2">
      <c r="A512" s="113"/>
      <c r="B512" s="113"/>
      <c r="C512" s="209"/>
      <c r="D512" s="209"/>
    </row>
    <row r="513" spans="1:4" s="12" customFormat="1" ht="16.5" customHeight="1" x14ac:dyDescent="0.2">
      <c r="A513" s="113"/>
      <c r="B513" s="113"/>
      <c r="C513" s="209"/>
      <c r="D513" s="209"/>
    </row>
    <row r="514" spans="1:4" s="12" customFormat="1" ht="16.5" customHeight="1" x14ac:dyDescent="0.2">
      <c r="A514" s="113"/>
      <c r="B514" s="113"/>
      <c r="C514" s="209"/>
      <c r="D514" s="209"/>
    </row>
    <row r="515" spans="1:4" s="12" customFormat="1" ht="16.5" customHeight="1" x14ac:dyDescent="0.2">
      <c r="A515" s="113"/>
      <c r="B515" s="113"/>
      <c r="C515" s="209"/>
      <c r="D515" s="209"/>
    </row>
    <row r="516" spans="1:4" s="12" customFormat="1" ht="16.5" customHeight="1" x14ac:dyDescent="0.2">
      <c r="A516" s="113"/>
      <c r="B516" s="113"/>
      <c r="C516" s="209"/>
      <c r="D516" s="209"/>
    </row>
    <row r="517" spans="1:4" s="12" customFormat="1" ht="16.5" customHeight="1" x14ac:dyDescent="0.2">
      <c r="A517" s="113"/>
      <c r="B517" s="113"/>
      <c r="C517" s="209"/>
      <c r="D517" s="209"/>
    </row>
    <row r="518" spans="1:4" s="12" customFormat="1" ht="16.5" customHeight="1" x14ac:dyDescent="0.2">
      <c r="A518" s="113"/>
      <c r="B518" s="113"/>
      <c r="C518" s="209"/>
      <c r="D518" s="209"/>
    </row>
    <row r="519" spans="1:4" s="12" customFormat="1" ht="16.5" customHeight="1" x14ac:dyDescent="0.2">
      <c r="A519" s="113"/>
      <c r="B519" s="113"/>
      <c r="C519" s="209"/>
      <c r="D519" s="209"/>
    </row>
    <row r="520" spans="1:4" s="12" customFormat="1" ht="16.5" customHeight="1" x14ac:dyDescent="0.2">
      <c r="A520" s="113"/>
      <c r="B520" s="113"/>
      <c r="C520" s="209"/>
      <c r="D520" s="209"/>
    </row>
    <row r="521" spans="1:4" s="12" customFormat="1" ht="16.5" customHeight="1" x14ac:dyDescent="0.2">
      <c r="A521" s="113"/>
      <c r="B521" s="113"/>
      <c r="C521" s="209"/>
      <c r="D521" s="209"/>
    </row>
    <row r="522" spans="1:4" s="12" customFormat="1" ht="16.5" customHeight="1" x14ac:dyDescent="0.2">
      <c r="A522" s="113"/>
      <c r="B522" s="113"/>
      <c r="C522" s="209"/>
      <c r="D522" s="209"/>
    </row>
    <row r="523" spans="1:4" s="12" customFormat="1" ht="16.5" customHeight="1" x14ac:dyDescent="0.2">
      <c r="A523" s="113"/>
      <c r="B523" s="113"/>
      <c r="C523" s="209"/>
      <c r="D523" s="209"/>
    </row>
    <row r="524" spans="1:4" s="12" customFormat="1" ht="16.5" customHeight="1" x14ac:dyDescent="0.2">
      <c r="A524" s="113"/>
      <c r="B524" s="113"/>
      <c r="C524" s="209"/>
      <c r="D524" s="209"/>
    </row>
    <row r="525" spans="1:4" s="12" customFormat="1" ht="16.5" customHeight="1" x14ac:dyDescent="0.2">
      <c r="A525" s="113"/>
      <c r="B525" s="113"/>
      <c r="C525" s="209"/>
      <c r="D525" s="209"/>
    </row>
    <row r="526" spans="1:4" s="12" customFormat="1" ht="16.5" customHeight="1" x14ac:dyDescent="0.2">
      <c r="A526" s="113"/>
      <c r="B526" s="113"/>
      <c r="C526" s="209"/>
      <c r="D526" s="209"/>
    </row>
    <row r="527" spans="1:4" s="12" customFormat="1" ht="16.5" customHeight="1" x14ac:dyDescent="0.2">
      <c r="A527" s="113"/>
      <c r="B527" s="113"/>
      <c r="C527" s="209"/>
      <c r="D527" s="209"/>
    </row>
    <row r="528" spans="1:4" s="12" customFormat="1" ht="16.5" customHeight="1" x14ac:dyDescent="0.2">
      <c r="A528" s="113"/>
      <c r="B528" s="113"/>
      <c r="C528" s="209"/>
      <c r="D528" s="209"/>
    </row>
    <row r="529" spans="1:4" s="12" customFormat="1" ht="16.5" customHeight="1" x14ac:dyDescent="0.2">
      <c r="A529" s="113"/>
      <c r="B529" s="113"/>
      <c r="C529" s="209"/>
      <c r="D529" s="209"/>
    </row>
    <row r="530" spans="1:4" s="12" customFormat="1" ht="16.5" customHeight="1" x14ac:dyDescent="0.2">
      <c r="A530" s="113"/>
      <c r="B530" s="113"/>
      <c r="C530" s="209"/>
      <c r="D530" s="209"/>
    </row>
    <row r="531" spans="1:4" s="12" customFormat="1" ht="16.5" customHeight="1" x14ac:dyDescent="0.2">
      <c r="A531" s="113"/>
      <c r="B531" s="113"/>
      <c r="C531" s="209"/>
      <c r="D531" s="209"/>
    </row>
    <row r="532" spans="1:4" s="12" customFormat="1" ht="16.5" customHeight="1" x14ac:dyDescent="0.2">
      <c r="A532" s="113"/>
      <c r="B532" s="113"/>
      <c r="C532" s="209"/>
      <c r="D532" s="209"/>
    </row>
    <row r="533" spans="1:4" s="12" customFormat="1" ht="16.5" customHeight="1" x14ac:dyDescent="0.2">
      <c r="A533" s="113"/>
      <c r="B533" s="113"/>
      <c r="C533" s="209"/>
      <c r="D533" s="209"/>
    </row>
    <row r="534" spans="1:4" s="12" customFormat="1" ht="16.5" customHeight="1" x14ac:dyDescent="0.2">
      <c r="A534" s="113"/>
      <c r="B534" s="113"/>
      <c r="C534" s="209"/>
      <c r="D534" s="209"/>
    </row>
    <row r="535" spans="1:4" s="12" customFormat="1" ht="16.5" customHeight="1" x14ac:dyDescent="0.2">
      <c r="A535" s="113"/>
      <c r="B535" s="113"/>
      <c r="C535" s="209"/>
      <c r="D535" s="209"/>
    </row>
    <row r="536" spans="1:4" s="12" customFormat="1" ht="16.5" customHeight="1" x14ac:dyDescent="0.2">
      <c r="A536" s="113"/>
      <c r="B536" s="113"/>
      <c r="C536" s="209"/>
      <c r="D536" s="209"/>
    </row>
    <row r="537" spans="1:4" s="12" customFormat="1" ht="16.5" customHeight="1" x14ac:dyDescent="0.2">
      <c r="A537" s="113"/>
      <c r="B537" s="113"/>
      <c r="C537" s="209"/>
      <c r="D537" s="209"/>
    </row>
    <row r="538" spans="1:4" s="12" customFormat="1" ht="16.5" customHeight="1" x14ac:dyDescent="0.2">
      <c r="A538" s="113"/>
      <c r="B538" s="113"/>
      <c r="C538" s="209"/>
      <c r="D538" s="209"/>
    </row>
    <row r="539" spans="1:4" s="12" customFormat="1" ht="16.5" customHeight="1" x14ac:dyDescent="0.2">
      <c r="A539" s="113"/>
      <c r="B539" s="113"/>
      <c r="C539" s="209"/>
      <c r="D539" s="209"/>
    </row>
    <row r="540" spans="1:4" s="12" customFormat="1" ht="16.5" customHeight="1" x14ac:dyDescent="0.2">
      <c r="A540" s="113"/>
      <c r="B540" s="113"/>
      <c r="C540" s="209"/>
      <c r="D540" s="209"/>
    </row>
    <row r="541" spans="1:4" s="12" customFormat="1" ht="16.5" customHeight="1" x14ac:dyDescent="0.2">
      <c r="A541" s="113"/>
      <c r="B541" s="113"/>
      <c r="C541" s="209"/>
      <c r="D541" s="209"/>
    </row>
    <row r="542" spans="1:4" s="12" customFormat="1" ht="16.5" customHeight="1" x14ac:dyDescent="0.2">
      <c r="A542" s="113"/>
      <c r="B542" s="113"/>
      <c r="C542" s="209"/>
      <c r="D542" s="209"/>
    </row>
    <row r="543" spans="1:4" s="12" customFormat="1" ht="16.5" customHeight="1" x14ac:dyDescent="0.2">
      <c r="A543" s="113"/>
      <c r="B543" s="113"/>
      <c r="C543" s="209"/>
      <c r="D543" s="209"/>
    </row>
    <row r="544" spans="1:4" s="12" customFormat="1" ht="16.5" customHeight="1" x14ac:dyDescent="0.2">
      <c r="A544" s="113"/>
      <c r="B544" s="113"/>
      <c r="C544" s="209"/>
      <c r="D544" s="209"/>
    </row>
    <row r="545" spans="1:4" s="12" customFormat="1" ht="16.5" customHeight="1" x14ac:dyDescent="0.2">
      <c r="A545" s="113"/>
      <c r="B545" s="113"/>
      <c r="C545" s="209"/>
      <c r="D545" s="209"/>
    </row>
    <row r="546" spans="1:4" s="12" customFormat="1" ht="16.5" customHeight="1" x14ac:dyDescent="0.2">
      <c r="A546" s="113"/>
      <c r="B546" s="113"/>
      <c r="C546" s="209"/>
      <c r="D546" s="209"/>
    </row>
    <row r="547" spans="1:4" s="12" customFormat="1" ht="16.5" customHeight="1" x14ac:dyDescent="0.2">
      <c r="A547" s="113"/>
      <c r="B547" s="113"/>
      <c r="C547" s="209"/>
      <c r="D547" s="209"/>
    </row>
    <row r="548" spans="1:4" s="12" customFormat="1" ht="16.5" customHeight="1" x14ac:dyDescent="0.2">
      <c r="A548" s="113"/>
      <c r="B548" s="113"/>
      <c r="C548" s="209"/>
      <c r="D548" s="209"/>
    </row>
    <row r="549" spans="1:4" s="12" customFormat="1" ht="16.5" customHeight="1" x14ac:dyDescent="0.2">
      <c r="A549" s="113"/>
      <c r="B549" s="113"/>
      <c r="C549" s="209"/>
      <c r="D549" s="209"/>
    </row>
    <row r="550" spans="1:4" s="12" customFormat="1" ht="16.5" customHeight="1" x14ac:dyDescent="0.2">
      <c r="A550" s="113"/>
      <c r="B550" s="113"/>
      <c r="C550" s="209"/>
      <c r="D550" s="209"/>
    </row>
    <row r="551" spans="1:4" s="12" customFormat="1" ht="16.5" customHeight="1" x14ac:dyDescent="0.2">
      <c r="A551" s="113"/>
      <c r="B551" s="113"/>
      <c r="C551" s="209"/>
      <c r="D551" s="209"/>
    </row>
    <row r="552" spans="1:4" s="12" customFormat="1" ht="16.5" customHeight="1" x14ac:dyDescent="0.2">
      <c r="A552" s="113"/>
      <c r="B552" s="113"/>
      <c r="C552" s="209"/>
      <c r="D552" s="209"/>
    </row>
    <row r="553" spans="1:4" s="12" customFormat="1" ht="16.5" customHeight="1" x14ac:dyDescent="0.2">
      <c r="A553" s="113"/>
      <c r="B553" s="113"/>
      <c r="C553" s="209"/>
      <c r="D553" s="209"/>
    </row>
    <row r="554" spans="1:4" s="12" customFormat="1" ht="16.5" customHeight="1" x14ac:dyDescent="0.2">
      <c r="A554" s="113"/>
      <c r="B554" s="113"/>
      <c r="C554" s="209"/>
      <c r="D554" s="209"/>
    </row>
    <row r="555" spans="1:4" s="12" customFormat="1" ht="16.5" customHeight="1" x14ac:dyDescent="0.2">
      <c r="A555" s="113"/>
      <c r="B555" s="113"/>
      <c r="C555" s="209"/>
      <c r="D555" s="209"/>
    </row>
    <row r="556" spans="1:4" s="12" customFormat="1" ht="16.5" customHeight="1" x14ac:dyDescent="0.2">
      <c r="A556" s="113"/>
      <c r="B556" s="113"/>
      <c r="C556" s="209"/>
      <c r="D556" s="209"/>
    </row>
    <row r="557" spans="1:4" s="12" customFormat="1" ht="16.5" customHeight="1" x14ac:dyDescent="0.2">
      <c r="A557" s="113"/>
      <c r="B557" s="113"/>
      <c r="C557" s="209"/>
      <c r="D557" s="209"/>
    </row>
    <row r="558" spans="1:4" s="12" customFormat="1" ht="16.5" customHeight="1" x14ac:dyDescent="0.2">
      <c r="A558" s="113"/>
      <c r="B558" s="113"/>
      <c r="C558" s="209"/>
      <c r="D558" s="209"/>
    </row>
    <row r="559" spans="1:4" s="12" customFormat="1" ht="16.5" customHeight="1" x14ac:dyDescent="0.2">
      <c r="A559" s="113"/>
      <c r="B559" s="113"/>
      <c r="C559" s="209"/>
      <c r="D559" s="209"/>
    </row>
    <row r="560" spans="1:4" s="12" customFormat="1" ht="16.5" customHeight="1" x14ac:dyDescent="0.2">
      <c r="A560" s="113"/>
      <c r="B560" s="113"/>
      <c r="C560" s="209"/>
      <c r="D560" s="209"/>
    </row>
    <row r="561" spans="1:4" s="12" customFormat="1" ht="16.5" customHeight="1" x14ac:dyDescent="0.2">
      <c r="A561" s="113"/>
      <c r="B561" s="113"/>
      <c r="C561" s="209"/>
      <c r="D561" s="209"/>
    </row>
    <row r="562" spans="1:4" s="12" customFormat="1" ht="16.5" customHeight="1" x14ac:dyDescent="0.2">
      <c r="A562" s="113"/>
      <c r="B562" s="113"/>
      <c r="C562" s="209"/>
      <c r="D562" s="209"/>
    </row>
    <row r="563" spans="1:4" s="12" customFormat="1" ht="16.5" customHeight="1" x14ac:dyDescent="0.2">
      <c r="A563" s="113"/>
      <c r="B563" s="113"/>
      <c r="C563" s="209"/>
      <c r="D563" s="209"/>
    </row>
    <row r="564" spans="1:4" s="12" customFormat="1" ht="16.5" customHeight="1" x14ac:dyDescent="0.2">
      <c r="A564" s="113"/>
      <c r="B564" s="113"/>
      <c r="C564" s="209"/>
      <c r="D564" s="209"/>
    </row>
    <row r="565" spans="1:4" s="12" customFormat="1" ht="16.5" customHeight="1" x14ac:dyDescent="0.2">
      <c r="A565" s="113"/>
      <c r="B565" s="113"/>
      <c r="C565" s="209"/>
      <c r="D565" s="209"/>
    </row>
    <row r="566" spans="1:4" s="12" customFormat="1" ht="16.5" customHeight="1" x14ac:dyDescent="0.2">
      <c r="A566" s="113"/>
      <c r="B566" s="113"/>
      <c r="C566" s="209"/>
      <c r="D566" s="209"/>
    </row>
    <row r="567" spans="1:4" s="12" customFormat="1" ht="16.5" customHeight="1" x14ac:dyDescent="0.2">
      <c r="A567" s="113"/>
      <c r="B567" s="113"/>
      <c r="C567" s="209"/>
      <c r="D567" s="209"/>
    </row>
    <row r="568" spans="1:4" s="12" customFormat="1" ht="16.5" customHeight="1" x14ac:dyDescent="0.2">
      <c r="A568" s="113"/>
      <c r="B568" s="113"/>
      <c r="C568" s="209"/>
      <c r="D568" s="209"/>
    </row>
    <row r="569" spans="1:4" s="12" customFormat="1" ht="16.5" customHeight="1" x14ac:dyDescent="0.2">
      <c r="A569" s="113"/>
      <c r="B569" s="113"/>
      <c r="C569" s="209"/>
      <c r="D569" s="209"/>
    </row>
    <row r="570" spans="1:4" s="12" customFormat="1" ht="16.5" customHeight="1" x14ac:dyDescent="0.2">
      <c r="A570" s="113"/>
      <c r="B570" s="113"/>
      <c r="C570" s="209"/>
      <c r="D570" s="209"/>
    </row>
    <row r="571" spans="1:4" s="12" customFormat="1" ht="16.5" customHeight="1" x14ac:dyDescent="0.2">
      <c r="A571" s="113"/>
      <c r="B571" s="113"/>
      <c r="C571" s="209"/>
      <c r="D571" s="209"/>
    </row>
    <row r="572" spans="1:4" s="12" customFormat="1" ht="16.5" customHeight="1" x14ac:dyDescent="0.2">
      <c r="A572" s="113"/>
      <c r="B572" s="113"/>
      <c r="C572" s="209"/>
      <c r="D572" s="209"/>
    </row>
    <row r="573" spans="1:4" s="12" customFormat="1" ht="16.5" customHeight="1" x14ac:dyDescent="0.2">
      <c r="A573" s="113"/>
      <c r="B573" s="90"/>
      <c r="C573" s="196"/>
      <c r="D573" s="197"/>
    </row>
    <row r="574" spans="1:4" s="12" customFormat="1" ht="16.5" customHeight="1" x14ac:dyDescent="0.2">
      <c r="A574" s="113"/>
      <c r="B574" s="90"/>
      <c r="C574" s="196"/>
      <c r="D574" s="197"/>
    </row>
    <row r="575" spans="1:4" s="12" customFormat="1" ht="16.5" customHeight="1" x14ac:dyDescent="0.2">
      <c r="A575" s="113"/>
      <c r="B575" s="90"/>
      <c r="C575" s="196"/>
      <c r="D575" s="197"/>
    </row>
    <row r="576" spans="1:4" s="12" customFormat="1" ht="16.5" customHeight="1" x14ac:dyDescent="0.2">
      <c r="A576" s="113"/>
      <c r="B576" s="90"/>
      <c r="C576" s="196"/>
      <c r="D576" s="197"/>
    </row>
    <row r="577" spans="1:4" s="12" customFormat="1" ht="16.5" customHeight="1" x14ac:dyDescent="0.2">
      <c r="A577" s="113"/>
      <c r="B577" s="90"/>
      <c r="C577" s="196"/>
      <c r="D577" s="197"/>
    </row>
    <row r="578" spans="1:4" s="12" customFormat="1" ht="16.5" customHeight="1" x14ac:dyDescent="0.2">
      <c r="A578" s="113"/>
      <c r="B578" s="90"/>
      <c r="C578" s="196"/>
      <c r="D578" s="197"/>
    </row>
    <row r="579" spans="1:4" s="12" customFormat="1" ht="16.5" customHeight="1" x14ac:dyDescent="0.2">
      <c r="A579" s="113"/>
      <c r="B579" s="90"/>
      <c r="C579" s="196"/>
      <c r="D579" s="197"/>
    </row>
    <row r="580" spans="1:4" s="12" customFormat="1" ht="16.5" customHeight="1" x14ac:dyDescent="0.2">
      <c r="A580" s="113"/>
      <c r="B580" s="90"/>
      <c r="C580" s="196"/>
      <c r="D580" s="197"/>
    </row>
  </sheetData>
  <phoneticPr fontId="0" type="noConversion"/>
  <pageMargins left="0.75" right="0.5" top="1" bottom="0.7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5"/>
  <sheetViews>
    <sheetView zoomScale="90" workbookViewId="0">
      <selection activeCell="D9" sqref="D9"/>
    </sheetView>
  </sheetViews>
  <sheetFormatPr defaultRowHeight="13.5" customHeight="1" x14ac:dyDescent="0.2"/>
  <cols>
    <col min="1" max="1" width="43" style="113" customWidth="1"/>
    <col min="2" max="2" width="5.28515625" style="90" customWidth="1"/>
    <col min="3" max="3" width="21.5703125" style="196" customWidth="1"/>
    <col min="4" max="4" width="21.5703125" style="197" customWidth="1"/>
  </cols>
  <sheetData>
    <row r="1" spans="1:4" ht="13.5" customHeight="1" x14ac:dyDescent="0.25">
      <c r="A1" s="235"/>
      <c r="B1" s="240"/>
      <c r="C1" s="236"/>
      <c r="D1" s="237"/>
    </row>
    <row r="2" spans="1:4" ht="13.5" customHeight="1" x14ac:dyDescent="0.2">
      <c r="A2" s="113" t="str">
        <f>+'BS&amp;PL'!A2</f>
        <v xml:space="preserve"> Balance Sheet as at </v>
      </c>
    </row>
    <row r="3" spans="1:4" ht="13.5" customHeight="1" x14ac:dyDescent="0.2">
      <c r="C3" s="238"/>
      <c r="D3" s="239"/>
    </row>
    <row r="4" spans="1:4" ht="13.5" customHeight="1" x14ac:dyDescent="0.2">
      <c r="C4" s="243" t="s">
        <v>612</v>
      </c>
      <c r="D4" s="239" t="s">
        <v>612</v>
      </c>
    </row>
    <row r="5" spans="1:4" ht="13.5" customHeight="1" x14ac:dyDescent="0.2">
      <c r="C5" s="243" t="s">
        <v>2</v>
      </c>
      <c r="D5" s="239" t="s">
        <v>2</v>
      </c>
    </row>
    <row r="6" spans="1:4" ht="13.5" customHeight="1" x14ac:dyDescent="0.2">
      <c r="C6" s="243"/>
      <c r="D6" s="239"/>
    </row>
    <row r="7" spans="1:4" ht="13.5" customHeight="1" x14ac:dyDescent="0.2">
      <c r="C7" s="238"/>
      <c r="D7" s="239"/>
    </row>
    <row r="8" spans="1:4" ht="13.5" customHeight="1" x14ac:dyDescent="0.2">
      <c r="B8" s="241"/>
    </row>
    <row r="9" spans="1:4" ht="13.5" customHeight="1" x14ac:dyDescent="0.2">
      <c r="B9" s="241"/>
    </row>
    <row r="10" spans="1:4" ht="13.5" customHeight="1" x14ac:dyDescent="0.2">
      <c r="B10" s="241"/>
    </row>
    <row r="11" spans="1:4" ht="13.5" customHeight="1" x14ac:dyDescent="0.2">
      <c r="B11" s="241"/>
    </row>
    <row r="12" spans="1:4" ht="13.5" customHeight="1" x14ac:dyDescent="0.2">
      <c r="B12" s="241"/>
    </row>
    <row r="13" spans="1:4" ht="13.5" customHeight="1" x14ac:dyDescent="0.2">
      <c r="B13" s="241"/>
    </row>
    <row r="14" spans="1:4" ht="13.5" customHeight="1" x14ac:dyDescent="0.2">
      <c r="B14" s="241"/>
    </row>
    <row r="15" spans="1:4" ht="13.5" customHeight="1" x14ac:dyDescent="0.2">
      <c r="B15" s="241"/>
    </row>
    <row r="16" spans="1:4" ht="13.5" customHeight="1" x14ac:dyDescent="0.2">
      <c r="B16" s="241"/>
    </row>
    <row r="17" spans="2:4" ht="13.5" customHeight="1" x14ac:dyDescent="0.2">
      <c r="B17" s="241"/>
    </row>
    <row r="18" spans="2:4" ht="13.5" customHeight="1" x14ac:dyDescent="0.2">
      <c r="B18" s="241"/>
    </row>
    <row r="19" spans="2:4" ht="13.5" customHeight="1" x14ac:dyDescent="0.2">
      <c r="B19" s="241"/>
    </row>
    <row r="20" spans="2:4" ht="13.5" customHeight="1" x14ac:dyDescent="0.2">
      <c r="B20" s="241"/>
    </row>
    <row r="21" spans="2:4" ht="13.5" customHeight="1" x14ac:dyDescent="0.2">
      <c r="B21" s="241"/>
    </row>
    <row r="22" spans="2:4" ht="13.5" customHeight="1" x14ac:dyDescent="0.2">
      <c r="B22" s="241"/>
    </row>
    <row r="23" spans="2:4" ht="13.5" customHeight="1" x14ac:dyDescent="0.2">
      <c r="B23" s="241"/>
    </row>
    <row r="24" spans="2:4" ht="13.5" customHeight="1" x14ac:dyDescent="0.2">
      <c r="B24" s="241"/>
    </row>
    <row r="25" spans="2:4" ht="13.5" customHeight="1" x14ac:dyDescent="0.2">
      <c r="B25" s="241"/>
    </row>
    <row r="26" spans="2:4" ht="13.5" customHeight="1" x14ac:dyDescent="0.2">
      <c r="B26" s="241"/>
    </row>
    <row r="27" spans="2:4" ht="13.5" customHeight="1" x14ac:dyDescent="0.2">
      <c r="B27" s="241"/>
    </row>
    <row r="28" spans="2:4" ht="13.5" customHeight="1" x14ac:dyDescent="0.2">
      <c r="B28" s="241"/>
    </row>
    <row r="29" spans="2:4" ht="13.5" customHeight="1" x14ac:dyDescent="0.2">
      <c r="B29" s="241"/>
    </row>
    <row r="30" spans="2:4" ht="13.5" customHeight="1" x14ac:dyDescent="0.2">
      <c r="B30" s="241"/>
      <c r="C30" s="198"/>
      <c r="D30" s="199"/>
    </row>
    <row r="31" spans="2:4" ht="13.5" customHeight="1" x14ac:dyDescent="0.2">
      <c r="B31" s="241"/>
    </row>
    <row r="32" spans="2:4" ht="13.5" customHeight="1" x14ac:dyDescent="0.2">
      <c r="B32" s="241"/>
    </row>
    <row r="33" spans="2:4" ht="13.5" customHeight="1" x14ac:dyDescent="0.2">
      <c r="B33" s="241"/>
    </row>
    <row r="34" spans="2:4" ht="13.5" customHeight="1" x14ac:dyDescent="0.2">
      <c r="B34" s="241"/>
    </row>
    <row r="35" spans="2:4" ht="13.5" customHeight="1" x14ac:dyDescent="0.2">
      <c r="B35" s="241"/>
      <c r="C35" s="200"/>
      <c r="D35" s="201"/>
    </row>
    <row r="36" spans="2:4" ht="13.5" customHeight="1" x14ac:dyDescent="0.2">
      <c r="B36" s="241"/>
    </row>
    <row r="37" spans="2:4" ht="13.5" customHeight="1" x14ac:dyDescent="0.2">
      <c r="B37" s="241"/>
    </row>
    <row r="38" spans="2:4" ht="13.5" customHeight="1" x14ac:dyDescent="0.2">
      <c r="B38" s="241"/>
    </row>
    <row r="39" spans="2:4" ht="13.5" customHeight="1" x14ac:dyDescent="0.2">
      <c r="B39" s="241"/>
    </row>
    <row r="40" spans="2:4" ht="13.5" customHeight="1" x14ac:dyDescent="0.2">
      <c r="B40" s="241"/>
    </row>
    <row r="41" spans="2:4" ht="13.5" customHeight="1" x14ac:dyDescent="0.2">
      <c r="B41" s="241"/>
    </row>
    <row r="42" spans="2:4" ht="13.5" customHeight="1" x14ac:dyDescent="0.2">
      <c r="B42" s="241"/>
    </row>
    <row r="43" spans="2:4" ht="13.5" customHeight="1" x14ac:dyDescent="0.2">
      <c r="B43" s="241"/>
    </row>
    <row r="44" spans="2:4" ht="13.5" customHeight="1" x14ac:dyDescent="0.2">
      <c r="B44" s="241"/>
    </row>
    <row r="45" spans="2:4" ht="13.5" customHeight="1" x14ac:dyDescent="0.2">
      <c r="B45" s="241"/>
    </row>
    <row r="46" spans="2:4" ht="13.5" customHeight="1" x14ac:dyDescent="0.2">
      <c r="B46" s="241"/>
    </row>
    <row r="47" spans="2:4" ht="13.5" customHeight="1" x14ac:dyDescent="0.2">
      <c r="B47" s="241"/>
    </row>
    <row r="48" spans="2:4" ht="13.5" customHeight="1" x14ac:dyDescent="0.2">
      <c r="B48" s="241"/>
    </row>
    <row r="49" spans="1:4" ht="13.5" customHeight="1" x14ac:dyDescent="0.2">
      <c r="B49" s="241"/>
    </row>
    <row r="50" spans="1:4" ht="13.5" customHeight="1" x14ac:dyDescent="0.2">
      <c r="B50" s="241"/>
      <c r="C50" s="205"/>
    </row>
    <row r="51" spans="1:4" ht="13.5" customHeight="1" x14ac:dyDescent="0.2">
      <c r="B51" s="241"/>
      <c r="C51" s="205"/>
    </row>
    <row r="52" spans="1:4" ht="13.5" customHeight="1" x14ac:dyDescent="0.2">
      <c r="B52" s="241"/>
      <c r="C52" s="205"/>
    </row>
    <row r="53" spans="1:4" ht="13.5" customHeight="1" x14ac:dyDescent="0.2">
      <c r="B53" s="241"/>
      <c r="C53" s="205"/>
    </row>
    <row r="54" spans="1:4" ht="13.5" customHeight="1" x14ac:dyDescent="0.25">
      <c r="A54" s="235"/>
      <c r="B54" s="241"/>
      <c r="C54" s="205"/>
    </row>
    <row r="55" spans="1:4" ht="13.5" customHeight="1" x14ac:dyDescent="0.2">
      <c r="A55" s="113" t="s">
        <v>127</v>
      </c>
    </row>
    <row r="56" spans="1:4" ht="13.5" customHeight="1" x14ac:dyDescent="0.2">
      <c r="A56" s="113" t="s">
        <v>605</v>
      </c>
    </row>
    <row r="58" spans="1:4" ht="13.5" customHeight="1" x14ac:dyDescent="0.2">
      <c r="C58" s="243" t="s">
        <v>613</v>
      </c>
      <c r="D58" s="239" t="s">
        <v>614</v>
      </c>
    </row>
    <row r="59" spans="1:4" ht="13.5" customHeight="1" x14ac:dyDescent="0.2">
      <c r="C59" s="243" t="s">
        <v>2</v>
      </c>
      <c r="D59" s="239" t="s">
        <v>2</v>
      </c>
    </row>
    <row r="61" spans="1:4" ht="13.5" customHeight="1" x14ac:dyDescent="0.2">
      <c r="B61" s="241"/>
      <c r="C61" s="206"/>
    </row>
    <row r="62" spans="1:4" ht="13.5" customHeight="1" x14ac:dyDescent="0.2">
      <c r="B62" s="241"/>
    </row>
    <row r="63" spans="1:4" ht="13.5" customHeight="1" x14ac:dyDescent="0.2">
      <c r="B63" s="241"/>
      <c r="C63" s="202"/>
      <c r="D63" s="203"/>
    </row>
    <row r="64" spans="1:4" ht="13.5" customHeight="1" x14ac:dyDescent="0.2">
      <c r="B64" s="241"/>
      <c r="C64" s="207"/>
    </row>
    <row r="65" spans="2:6" ht="13.5" customHeight="1" x14ac:dyDescent="0.2">
      <c r="B65" s="241"/>
      <c r="C65" s="206"/>
    </row>
    <row r="66" spans="2:6" ht="13.5" customHeight="1" x14ac:dyDescent="0.2">
      <c r="B66" s="241"/>
      <c r="C66" s="208"/>
      <c r="F66" s="12"/>
    </row>
    <row r="67" spans="2:6" ht="13.5" customHeight="1" x14ac:dyDescent="0.2">
      <c r="B67" s="241"/>
      <c r="F67" s="116"/>
    </row>
    <row r="68" spans="2:6" ht="13.5" customHeight="1" x14ac:dyDescent="0.2">
      <c r="B68" s="241"/>
      <c r="F68" s="116"/>
    </row>
    <row r="69" spans="2:6" ht="13.5" customHeight="1" x14ac:dyDescent="0.2">
      <c r="B69" s="241"/>
    </row>
    <row r="70" spans="2:6" ht="13.5" customHeight="1" x14ac:dyDescent="0.2">
      <c r="B70" s="241"/>
      <c r="C70" s="207"/>
    </row>
    <row r="71" spans="2:6" ht="13.5" customHeight="1" x14ac:dyDescent="0.2">
      <c r="B71" s="241"/>
      <c r="C71" s="197"/>
    </row>
    <row r="72" spans="2:6" ht="13.5" customHeight="1" x14ac:dyDescent="0.2">
      <c r="B72" s="241"/>
      <c r="C72" s="207"/>
    </row>
    <row r="73" spans="2:6" ht="13.5" customHeight="1" x14ac:dyDescent="0.2">
      <c r="B73" s="241"/>
      <c r="C73" s="202"/>
      <c r="D73" s="203"/>
    </row>
    <row r="74" spans="2:6" ht="13.5" customHeight="1" x14ac:dyDescent="0.2">
      <c r="C74" s="238"/>
      <c r="D74" s="239"/>
    </row>
    <row r="76" spans="2:6" ht="13.5" customHeight="1" x14ac:dyDescent="0.2">
      <c r="B76" s="113"/>
      <c r="C76" s="209"/>
      <c r="D76" s="209"/>
    </row>
    <row r="77" spans="2:6" ht="13.5" customHeight="1" x14ac:dyDescent="0.2">
      <c r="C77" s="209"/>
      <c r="D77" s="209"/>
    </row>
    <row r="78" spans="2:6" ht="13.5" customHeight="1" x14ac:dyDescent="0.2">
      <c r="C78" s="209"/>
      <c r="D78" s="209"/>
    </row>
    <row r="79" spans="2:6" ht="13.5" customHeight="1" x14ac:dyDescent="0.2">
      <c r="C79" s="209"/>
      <c r="D79" s="209"/>
    </row>
    <row r="80" spans="2:6" ht="13.5" customHeight="1" x14ac:dyDescent="0.2">
      <c r="C80" s="209"/>
      <c r="D80" s="209"/>
    </row>
    <row r="81" spans="3:4" ht="13.5" customHeight="1" x14ac:dyDescent="0.2">
      <c r="C81" s="209"/>
      <c r="D81" s="209"/>
    </row>
    <row r="82" spans="3:4" ht="13.5" customHeight="1" x14ac:dyDescent="0.2">
      <c r="C82" s="209"/>
      <c r="D82" s="209"/>
    </row>
    <row r="83" spans="3:4" ht="13.5" customHeight="1" x14ac:dyDescent="0.2">
      <c r="C83" s="209"/>
      <c r="D83" s="209"/>
    </row>
    <row r="84" spans="3:4" ht="13.5" customHeight="1" x14ac:dyDescent="0.2">
      <c r="C84" s="209"/>
    </row>
    <row r="85" spans="3:4" ht="13.5" customHeight="1" x14ac:dyDescent="0.2">
      <c r="C85" s="209"/>
    </row>
    <row r="86" spans="3:4" ht="13.5" customHeight="1" x14ac:dyDescent="0.2">
      <c r="C86" s="209"/>
    </row>
    <row r="87" spans="3:4" ht="13.5" customHeight="1" x14ac:dyDescent="0.2">
      <c r="C87" s="209"/>
    </row>
    <row r="88" spans="3:4" ht="13.5" customHeight="1" x14ac:dyDescent="0.2">
      <c r="C88" s="209"/>
    </row>
    <row r="89" spans="3:4" ht="13.5" customHeight="1" x14ac:dyDescent="0.2">
      <c r="C89" s="209"/>
    </row>
    <row r="90" spans="3:4" ht="13.5" customHeight="1" x14ac:dyDescent="0.2">
      <c r="C90" s="209"/>
    </row>
    <row r="91" spans="3:4" ht="13.5" customHeight="1" x14ac:dyDescent="0.2">
      <c r="C91" s="209"/>
    </row>
    <row r="92" spans="3:4" ht="13.5" customHeight="1" x14ac:dyDescent="0.2">
      <c r="C92" s="209"/>
    </row>
    <row r="93" spans="3:4" ht="13.5" customHeight="1" x14ac:dyDescent="0.2">
      <c r="C93" s="209"/>
    </row>
    <row r="94" spans="3:4" ht="13.5" customHeight="1" x14ac:dyDescent="0.2">
      <c r="C94" s="209"/>
    </row>
    <row r="95" spans="3:4" ht="13.5" customHeight="1" x14ac:dyDescent="0.2">
      <c r="C95" s="209"/>
    </row>
    <row r="96" spans="3:4" ht="13.5" customHeight="1" x14ac:dyDescent="0.2">
      <c r="C96" s="209"/>
    </row>
    <row r="97" spans="3:3" ht="13.5" customHeight="1" x14ac:dyDescent="0.2">
      <c r="C97" s="209"/>
    </row>
    <row r="98" spans="3:3" ht="13.5" customHeight="1" x14ac:dyDescent="0.2">
      <c r="C98" s="209"/>
    </row>
    <row r="99" spans="3:3" ht="13.5" customHeight="1" x14ac:dyDescent="0.2">
      <c r="C99" s="209"/>
    </row>
    <row r="100" spans="3:3" ht="13.5" customHeight="1" x14ac:dyDescent="0.2">
      <c r="C100" s="209"/>
    </row>
    <row r="101" spans="3:3" ht="13.5" customHeight="1" x14ac:dyDescent="0.2">
      <c r="C101" s="209"/>
    </row>
    <row r="102" spans="3:3" ht="13.5" customHeight="1" x14ac:dyDescent="0.2">
      <c r="C102" s="209"/>
    </row>
    <row r="103" spans="3:3" ht="13.5" customHeight="1" x14ac:dyDescent="0.2">
      <c r="C103" s="209"/>
    </row>
    <row r="104" spans="3:3" ht="13.5" customHeight="1" x14ac:dyDescent="0.2">
      <c r="C104" s="209"/>
    </row>
    <row r="105" spans="3:3" ht="13.5" customHeight="1" x14ac:dyDescent="0.2">
      <c r="C105" s="209"/>
    </row>
    <row r="106" spans="3:3" ht="13.5" customHeight="1" x14ac:dyDescent="0.2">
      <c r="C106" s="209"/>
    </row>
    <row r="107" spans="3:3" ht="13.5" customHeight="1" x14ac:dyDescent="0.2">
      <c r="C107" s="209"/>
    </row>
    <row r="108" spans="3:3" ht="13.5" customHeight="1" x14ac:dyDescent="0.2">
      <c r="C108" s="209"/>
    </row>
    <row r="109" spans="3:3" ht="13.5" customHeight="1" x14ac:dyDescent="0.2">
      <c r="C109" s="209"/>
    </row>
    <row r="110" spans="3:3" ht="13.5" customHeight="1" x14ac:dyDescent="0.2">
      <c r="C110" s="209"/>
    </row>
    <row r="111" spans="3:3" ht="13.5" customHeight="1" x14ac:dyDescent="0.2">
      <c r="C111" s="209"/>
    </row>
    <row r="112" spans="3:3" ht="13.5" customHeight="1" x14ac:dyDescent="0.2">
      <c r="C112" s="209"/>
    </row>
    <row r="113" spans="3:3" ht="13.5" customHeight="1" x14ac:dyDescent="0.2">
      <c r="C113" s="209"/>
    </row>
    <row r="114" spans="3:3" ht="13.5" customHeight="1" x14ac:dyDescent="0.2">
      <c r="C114" s="209"/>
    </row>
    <row r="115" spans="3:3" ht="13.5" customHeight="1" x14ac:dyDescent="0.2">
      <c r="C115" s="209"/>
    </row>
    <row r="116" spans="3:3" ht="13.5" customHeight="1" x14ac:dyDescent="0.2">
      <c r="C116" s="209"/>
    </row>
    <row r="117" spans="3:3" ht="13.5" customHeight="1" x14ac:dyDescent="0.2">
      <c r="C117" s="209"/>
    </row>
    <row r="118" spans="3:3" ht="13.5" customHeight="1" x14ac:dyDescent="0.2">
      <c r="C118" s="209"/>
    </row>
    <row r="119" spans="3:3" ht="13.5" customHeight="1" x14ac:dyDescent="0.2">
      <c r="C119" s="209"/>
    </row>
    <row r="120" spans="3:3" ht="13.5" customHeight="1" x14ac:dyDescent="0.2">
      <c r="C120" s="209"/>
    </row>
    <row r="121" spans="3:3" ht="13.5" customHeight="1" x14ac:dyDescent="0.2">
      <c r="C121" s="209"/>
    </row>
    <row r="122" spans="3:3" ht="13.5" customHeight="1" x14ac:dyDescent="0.2">
      <c r="C122" s="209"/>
    </row>
    <row r="123" spans="3:3" ht="13.5" customHeight="1" x14ac:dyDescent="0.2">
      <c r="C123" s="209"/>
    </row>
    <row r="124" spans="3:3" ht="13.5" customHeight="1" x14ac:dyDescent="0.2">
      <c r="C124" s="209"/>
    </row>
    <row r="125" spans="3:3" ht="13.5" customHeight="1" x14ac:dyDescent="0.2">
      <c r="C125" s="209"/>
    </row>
    <row r="126" spans="3:3" ht="13.5" customHeight="1" x14ac:dyDescent="0.2">
      <c r="C126" s="209"/>
    </row>
    <row r="127" spans="3:3" ht="13.5" customHeight="1" x14ac:dyDescent="0.2">
      <c r="C127" s="209"/>
    </row>
    <row r="128" spans="3:3" ht="13.5" customHeight="1" x14ac:dyDescent="0.2">
      <c r="C128" s="209"/>
    </row>
    <row r="129" spans="3:3" ht="13.5" customHeight="1" x14ac:dyDescent="0.2">
      <c r="C129" s="209"/>
    </row>
    <row r="130" spans="3:3" ht="13.5" customHeight="1" x14ac:dyDescent="0.2">
      <c r="C130" s="209"/>
    </row>
    <row r="131" spans="3:3" ht="13.5" customHeight="1" x14ac:dyDescent="0.2">
      <c r="C131" s="209"/>
    </row>
    <row r="132" spans="3:3" ht="13.5" customHeight="1" x14ac:dyDescent="0.2">
      <c r="C132" s="209"/>
    </row>
    <row r="133" spans="3:3" ht="13.5" customHeight="1" x14ac:dyDescent="0.2">
      <c r="C133" s="209"/>
    </row>
    <row r="134" spans="3:3" ht="13.5" customHeight="1" x14ac:dyDescent="0.2">
      <c r="C134" s="209"/>
    </row>
    <row r="135" spans="3:3" ht="13.5" customHeight="1" x14ac:dyDescent="0.2">
      <c r="C135" s="209"/>
    </row>
    <row r="136" spans="3:3" ht="13.5" customHeight="1" x14ac:dyDescent="0.2">
      <c r="C136" s="209"/>
    </row>
    <row r="137" spans="3:3" ht="13.5" customHeight="1" x14ac:dyDescent="0.2">
      <c r="C137" s="209"/>
    </row>
    <row r="138" spans="3:3" ht="13.5" customHeight="1" x14ac:dyDescent="0.2">
      <c r="C138" s="209"/>
    </row>
    <row r="139" spans="3:3" ht="13.5" customHeight="1" x14ac:dyDescent="0.2">
      <c r="C139" s="209"/>
    </row>
    <row r="140" spans="3:3" ht="13.5" customHeight="1" x14ac:dyDescent="0.2">
      <c r="C140" s="209"/>
    </row>
    <row r="141" spans="3:3" ht="13.5" customHeight="1" x14ac:dyDescent="0.2">
      <c r="C141" s="209"/>
    </row>
    <row r="142" spans="3:3" ht="13.5" customHeight="1" x14ac:dyDescent="0.2">
      <c r="C142" s="209"/>
    </row>
    <row r="143" spans="3:3" ht="13.5" customHeight="1" x14ac:dyDescent="0.2">
      <c r="C143" s="209"/>
    </row>
    <row r="144" spans="3:3" ht="13.5" customHeight="1" x14ac:dyDescent="0.2">
      <c r="C144" s="209"/>
    </row>
    <row r="145" spans="3:3" ht="13.5" customHeight="1" x14ac:dyDescent="0.2">
      <c r="C145" s="209"/>
    </row>
    <row r="146" spans="3:3" ht="13.5" customHeight="1" x14ac:dyDescent="0.2">
      <c r="C146" s="209"/>
    </row>
    <row r="147" spans="3:3" ht="13.5" customHeight="1" x14ac:dyDescent="0.2">
      <c r="C147" s="209"/>
    </row>
    <row r="148" spans="3:3" ht="13.5" customHeight="1" x14ac:dyDescent="0.2">
      <c r="C148" s="209"/>
    </row>
    <row r="149" spans="3:3" ht="13.5" customHeight="1" x14ac:dyDescent="0.2">
      <c r="C149" s="209"/>
    </row>
    <row r="150" spans="3:3" ht="13.5" customHeight="1" x14ac:dyDescent="0.2">
      <c r="C150" s="209"/>
    </row>
    <row r="151" spans="3:3" ht="13.5" customHeight="1" x14ac:dyDescent="0.2">
      <c r="C151" s="209"/>
    </row>
    <row r="152" spans="3:3" ht="13.5" customHeight="1" x14ac:dyDescent="0.2">
      <c r="C152" s="209"/>
    </row>
    <row r="153" spans="3:3" ht="13.5" customHeight="1" x14ac:dyDescent="0.2">
      <c r="C153" s="209"/>
    </row>
    <row r="154" spans="3:3" ht="13.5" customHeight="1" x14ac:dyDescent="0.2">
      <c r="C154" s="209"/>
    </row>
    <row r="155" spans="3:3" ht="13.5" customHeight="1" x14ac:dyDescent="0.2">
      <c r="C155" s="209"/>
    </row>
  </sheetData>
  <phoneticPr fontId="0" type="noConversion"/>
  <pageMargins left="1" right="0.75" top="1" bottom="0.7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workbookViewId="0">
      <selection activeCell="B5" sqref="B5"/>
    </sheetView>
  </sheetViews>
  <sheetFormatPr defaultRowHeight="15" customHeight="1" x14ac:dyDescent="0.2"/>
  <cols>
    <col min="1" max="3" width="23.5703125" style="113" customWidth="1"/>
    <col min="4" max="4" width="23.5703125" style="209" customWidth="1"/>
    <col min="5" max="8" width="9.140625" customWidth="1"/>
  </cols>
  <sheetData>
    <row r="1" spans="1:4" ht="15" customHeight="1" x14ac:dyDescent="0.25">
      <c r="A1" s="235"/>
    </row>
    <row r="2" spans="1:4" ht="15" customHeight="1" x14ac:dyDescent="0.2">
      <c r="A2" s="113" t="s">
        <v>606</v>
      </c>
    </row>
    <row r="4" spans="1:4" ht="15" customHeight="1" x14ac:dyDescent="0.2">
      <c r="D4" s="211" t="s">
        <v>64</v>
      </c>
    </row>
    <row r="5" spans="1:4" ht="15" customHeight="1" x14ac:dyDescent="0.2">
      <c r="D5" s="207"/>
    </row>
    <row r="6" spans="1:4" ht="15" customHeight="1" x14ac:dyDescent="0.2">
      <c r="D6" s="211" t="s">
        <v>65</v>
      </c>
    </row>
    <row r="8" spans="1:4" ht="15" customHeight="1" x14ac:dyDescent="0.2">
      <c r="C8" s="244"/>
      <c r="D8" s="197"/>
    </row>
    <row r="9" spans="1:4" ht="15" customHeight="1" x14ac:dyDescent="0.2">
      <c r="D9" s="197"/>
    </row>
    <row r="10" spans="1:4" ht="15" customHeight="1" x14ac:dyDescent="0.2">
      <c r="D10" s="197"/>
    </row>
    <row r="11" spans="1:4" ht="15" customHeight="1" x14ac:dyDescent="0.2">
      <c r="D11" s="197"/>
    </row>
    <row r="12" spans="1:4" ht="15" customHeight="1" x14ac:dyDescent="0.2">
      <c r="D12" s="197"/>
    </row>
    <row r="13" spans="1:4" ht="15" customHeight="1" x14ac:dyDescent="0.2">
      <c r="D13" s="197"/>
    </row>
    <row r="14" spans="1:4" ht="15" customHeight="1" x14ac:dyDescent="0.2">
      <c r="D14" s="197"/>
    </row>
    <row r="15" spans="1:4" ht="15" customHeight="1" x14ac:dyDescent="0.2">
      <c r="D15" s="197"/>
    </row>
    <row r="16" spans="1:4" ht="15" customHeight="1" x14ac:dyDescent="0.2">
      <c r="D16" s="197"/>
    </row>
    <row r="17" spans="4:5" ht="15" customHeight="1" x14ac:dyDescent="0.2">
      <c r="D17" s="197"/>
    </row>
    <row r="18" spans="4:5" ht="15" customHeight="1" x14ac:dyDescent="0.2">
      <c r="D18" s="197"/>
    </row>
    <row r="19" spans="4:5" ht="15" customHeight="1" x14ac:dyDescent="0.2">
      <c r="D19" s="197"/>
    </row>
    <row r="20" spans="4:5" ht="15" customHeight="1" x14ac:dyDescent="0.2">
      <c r="D20" s="197"/>
    </row>
    <row r="21" spans="4:5" ht="15" customHeight="1" x14ac:dyDescent="0.2">
      <c r="D21" s="197"/>
    </row>
    <row r="22" spans="4:5" ht="15" customHeight="1" x14ac:dyDescent="0.2">
      <c r="D22" s="197"/>
    </row>
    <row r="23" spans="4:5" ht="15" customHeight="1" x14ac:dyDescent="0.2">
      <c r="D23" s="197"/>
    </row>
    <row r="24" spans="4:5" ht="15" customHeight="1" x14ac:dyDescent="0.2">
      <c r="D24" s="197"/>
    </row>
    <row r="25" spans="4:5" ht="15" customHeight="1" x14ac:dyDescent="0.2">
      <c r="D25" s="197"/>
      <c r="E25" s="29"/>
    </row>
    <row r="26" spans="4:5" ht="15" customHeight="1" x14ac:dyDescent="0.2">
      <c r="D26" s="197"/>
      <c r="E26" s="29"/>
    </row>
    <row r="27" spans="4:5" ht="15" customHeight="1" x14ac:dyDescent="0.2">
      <c r="D27" s="197"/>
    </row>
    <row r="28" spans="4:5" ht="15" customHeight="1" x14ac:dyDescent="0.2">
      <c r="D28" s="197"/>
    </row>
    <row r="29" spans="4:5" ht="15" customHeight="1" x14ac:dyDescent="0.2">
      <c r="D29" s="197"/>
    </row>
    <row r="30" spans="4:5" ht="15" customHeight="1" x14ac:dyDescent="0.2">
      <c r="D30" s="197"/>
    </row>
    <row r="31" spans="4:5" ht="15" customHeight="1" x14ac:dyDescent="0.2">
      <c r="D31" s="197"/>
    </row>
    <row r="32" spans="4:5" ht="15" customHeight="1" x14ac:dyDescent="0.2">
      <c r="D32" s="197"/>
    </row>
    <row r="33" spans="4:4" ht="15" customHeight="1" x14ac:dyDescent="0.2">
      <c r="D33" s="197"/>
    </row>
    <row r="34" spans="4:4" ht="15" customHeight="1" x14ac:dyDescent="0.2">
      <c r="D34" s="197"/>
    </row>
    <row r="35" spans="4:4" ht="15" customHeight="1" x14ac:dyDescent="0.2">
      <c r="D35" s="197"/>
    </row>
    <row r="36" spans="4:4" ht="15" customHeight="1" x14ac:dyDescent="0.2">
      <c r="D36" s="197"/>
    </row>
    <row r="37" spans="4:4" ht="15" customHeight="1" x14ac:dyDescent="0.2">
      <c r="D37" s="197"/>
    </row>
    <row r="38" spans="4:4" ht="15" customHeight="1" x14ac:dyDescent="0.2">
      <c r="D38" s="197"/>
    </row>
    <row r="39" spans="4:4" ht="15" customHeight="1" x14ac:dyDescent="0.2">
      <c r="D39" s="197"/>
    </row>
    <row r="40" spans="4:4" ht="15" customHeight="1" x14ac:dyDescent="0.2">
      <c r="D40" s="197"/>
    </row>
    <row r="41" spans="4:4" ht="15" customHeight="1" x14ac:dyDescent="0.2">
      <c r="D41" s="197"/>
    </row>
    <row r="42" spans="4:4" ht="15" customHeight="1" x14ac:dyDescent="0.2">
      <c r="D42" s="197"/>
    </row>
    <row r="43" spans="4:4" ht="15" customHeight="1" x14ac:dyDescent="0.2">
      <c r="D43" s="197"/>
    </row>
    <row r="44" spans="4:4" ht="15" customHeight="1" x14ac:dyDescent="0.2">
      <c r="D44" s="197"/>
    </row>
    <row r="45" spans="4:4" ht="15" customHeight="1" x14ac:dyDescent="0.2">
      <c r="D45" s="197"/>
    </row>
    <row r="46" spans="4:4" ht="15" customHeight="1" x14ac:dyDescent="0.2">
      <c r="D46" s="197"/>
    </row>
    <row r="47" spans="4:4" ht="15" customHeight="1" x14ac:dyDescent="0.2">
      <c r="D47" s="197"/>
    </row>
    <row r="48" spans="4:4" ht="15" customHeight="1" x14ac:dyDescent="0.2">
      <c r="D48" s="197"/>
    </row>
    <row r="49" spans="2:4" ht="15" customHeight="1" x14ac:dyDescent="0.2">
      <c r="D49" s="197"/>
    </row>
    <row r="50" spans="2:4" ht="15" customHeight="1" x14ac:dyDescent="0.2">
      <c r="D50" s="197"/>
    </row>
    <row r="51" spans="2:4" ht="15" customHeight="1" x14ac:dyDescent="0.2">
      <c r="D51" s="197"/>
    </row>
    <row r="53" spans="2:4" ht="15" customHeight="1" x14ac:dyDescent="0.2">
      <c r="B53" s="171"/>
    </row>
    <row r="54" spans="2:4" ht="15" customHeight="1" x14ac:dyDescent="0.2">
      <c r="D54" s="197"/>
    </row>
    <row r="55" spans="2:4" ht="15" customHeight="1" x14ac:dyDescent="0.2">
      <c r="D55" s="197"/>
    </row>
    <row r="56" spans="2:4" ht="15" customHeight="1" x14ac:dyDescent="0.2">
      <c r="D56" s="197"/>
    </row>
    <row r="57" spans="2:4" ht="15" customHeight="1" x14ac:dyDescent="0.2">
      <c r="D57" s="197"/>
    </row>
    <row r="58" spans="2:4" ht="15" customHeight="1" x14ac:dyDescent="0.2">
      <c r="D58" s="197"/>
    </row>
  </sheetData>
  <phoneticPr fontId="0" type="noConversion"/>
  <pageMargins left="1.25" right="1" top="1" bottom="0.5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5"/>
  <sheetViews>
    <sheetView workbookViewId="0">
      <selection activeCell="Q22" sqref="Q22"/>
    </sheetView>
  </sheetViews>
  <sheetFormatPr defaultRowHeight="12.75" x14ac:dyDescent="0.2"/>
  <cols>
    <col min="1" max="1" width="39" customWidth="1"/>
    <col min="2" max="2" width="10" customWidth="1"/>
    <col min="3" max="3" width="10.140625" customWidth="1"/>
    <col min="4" max="4" width="10" customWidth="1"/>
    <col min="5" max="5" width="11" customWidth="1"/>
    <col min="6" max="6" width="11.5703125" customWidth="1"/>
    <col min="7" max="7" width="0" hidden="1" customWidth="1"/>
    <col min="8" max="9" width="10.28515625" hidden="1" customWidth="1"/>
    <col min="10" max="16" width="0" hidden="1" customWidth="1"/>
    <col min="17" max="17" width="12.28515625" bestFit="1" customWidth="1"/>
    <col min="18" max="18" width="11.28515625" bestFit="1" customWidth="1"/>
  </cols>
  <sheetData>
    <row r="1" spans="1:9" ht="18" customHeight="1" x14ac:dyDescent="0.25">
      <c r="A1" s="5"/>
      <c r="B1" s="2"/>
      <c r="C1" s="2"/>
      <c r="D1" s="2"/>
      <c r="E1" s="6"/>
      <c r="F1" s="6"/>
    </row>
    <row r="2" spans="1:9" ht="9.9499999999999993" customHeight="1" x14ac:dyDescent="0.2">
      <c r="A2" s="9"/>
      <c r="B2" s="4"/>
      <c r="C2" s="2"/>
      <c r="D2" s="2"/>
    </row>
    <row r="3" spans="1:9" x14ac:dyDescent="0.2">
      <c r="A3" t="s">
        <v>5</v>
      </c>
      <c r="B3" s="3"/>
      <c r="C3" s="6"/>
      <c r="D3" s="6"/>
    </row>
    <row r="4" spans="1:9" x14ac:dyDescent="0.2">
      <c r="A4" s="41" t="s">
        <v>217</v>
      </c>
      <c r="B4" s="3"/>
      <c r="C4" s="6"/>
      <c r="D4" s="6"/>
      <c r="E4" s="6" t="s">
        <v>65</v>
      </c>
    </row>
    <row r="5" spans="1:9" x14ac:dyDescent="0.2">
      <c r="B5" s="19" t="s">
        <v>6</v>
      </c>
      <c r="C5" s="19" t="s">
        <v>7</v>
      </c>
      <c r="D5" s="33" t="s">
        <v>63</v>
      </c>
      <c r="E5" s="19" t="s">
        <v>56</v>
      </c>
      <c r="F5" s="19" t="s">
        <v>8</v>
      </c>
    </row>
    <row r="6" spans="1:9" x14ac:dyDescent="0.2">
      <c r="B6" s="19" t="s">
        <v>7</v>
      </c>
      <c r="C6" s="19" t="s">
        <v>9</v>
      </c>
      <c r="D6" s="19" t="s">
        <v>9</v>
      </c>
      <c r="E6" s="19" t="s">
        <v>57</v>
      </c>
      <c r="F6" s="19"/>
    </row>
    <row r="7" spans="1:9" ht="3" customHeight="1" x14ac:dyDescent="0.2"/>
    <row r="8" spans="1:9" ht="2.25" customHeight="1" x14ac:dyDescent="0.2">
      <c r="B8" s="4"/>
      <c r="C8" s="4"/>
      <c r="D8" s="4"/>
      <c r="E8" s="4"/>
      <c r="F8" s="4"/>
    </row>
    <row r="9" spans="1:9" ht="27" hidden="1" customHeight="1" x14ac:dyDescent="0.2">
      <c r="A9" t="s">
        <v>95</v>
      </c>
      <c r="B9" s="64">
        <v>600000</v>
      </c>
      <c r="C9" s="64">
        <v>0</v>
      </c>
      <c r="D9" s="64">
        <v>300000</v>
      </c>
      <c r="E9" s="64">
        <v>1232033.6960000009</v>
      </c>
      <c r="F9" s="64">
        <v>2132033.6960000014</v>
      </c>
    </row>
    <row r="10" spans="1:9" ht="18.75" hidden="1" customHeight="1" x14ac:dyDescent="0.2">
      <c r="A10" t="s">
        <v>98</v>
      </c>
      <c r="B10" s="4"/>
      <c r="C10" s="4"/>
      <c r="D10" s="4"/>
      <c r="E10" s="4">
        <f>-140000</f>
        <v>-140000</v>
      </c>
      <c r="F10" s="4">
        <f>E10</f>
        <v>-140000</v>
      </c>
    </row>
    <row r="11" spans="1:9" ht="17.25" hidden="1" customHeight="1" x14ac:dyDescent="0.2">
      <c r="A11" s="41" t="s">
        <v>99</v>
      </c>
      <c r="B11" s="2"/>
      <c r="C11" s="2"/>
      <c r="D11" s="2"/>
      <c r="E11" s="65">
        <v>720351.96300000127</v>
      </c>
      <c r="F11" s="65">
        <f>E11</f>
        <v>720351.96300000127</v>
      </c>
      <c r="I11" s="29"/>
    </row>
    <row r="12" spans="1:9" ht="17.25" hidden="1" customHeight="1" x14ac:dyDescent="0.2">
      <c r="A12" s="41" t="s">
        <v>100</v>
      </c>
      <c r="B12" s="67">
        <f>SUM(B9:B11)</f>
        <v>600000</v>
      </c>
      <c r="C12" s="67">
        <f t="shared" ref="C12:F12" si="0">SUM(C9:C11)</f>
        <v>0</v>
      </c>
      <c r="D12" s="67">
        <f t="shared" si="0"/>
        <v>300000</v>
      </c>
      <c r="E12" s="67">
        <f t="shared" si="0"/>
        <v>1812385.6590000023</v>
      </c>
      <c r="F12" s="67">
        <f t="shared" si="0"/>
        <v>2712385.6590000028</v>
      </c>
      <c r="I12" s="29"/>
    </row>
    <row r="13" spans="1:9" ht="17.25" hidden="1" customHeight="1" x14ac:dyDescent="0.2">
      <c r="A13" s="41" t="s">
        <v>101</v>
      </c>
      <c r="B13" s="2"/>
      <c r="C13" s="2"/>
      <c r="D13" s="2"/>
      <c r="E13" s="65">
        <f>-310000</f>
        <v>-310000</v>
      </c>
      <c r="F13" s="65">
        <f>E13</f>
        <v>-310000</v>
      </c>
      <c r="I13" s="29"/>
    </row>
    <row r="14" spans="1:9" ht="17.25" hidden="1" customHeight="1" x14ac:dyDescent="0.2">
      <c r="A14" s="41" t="s">
        <v>102</v>
      </c>
      <c r="B14" s="2"/>
      <c r="C14" s="2"/>
      <c r="D14" s="2"/>
      <c r="E14" s="65">
        <f>-200000</f>
        <v>-200000</v>
      </c>
      <c r="F14" s="65">
        <f>E14</f>
        <v>-200000</v>
      </c>
      <c r="I14" s="29"/>
    </row>
    <row r="15" spans="1:9" ht="17.25" hidden="1" customHeight="1" x14ac:dyDescent="0.2">
      <c r="A15" s="41" t="s">
        <v>104</v>
      </c>
      <c r="B15" s="2"/>
      <c r="C15" s="2"/>
      <c r="D15" s="2"/>
      <c r="E15" s="65">
        <v>1159461.0820000009</v>
      </c>
      <c r="F15" s="65">
        <f>E15</f>
        <v>1159461.0820000009</v>
      </c>
      <c r="I15" s="29"/>
    </row>
    <row r="16" spans="1:9" ht="17.25" hidden="1" customHeight="1" x14ac:dyDescent="0.2">
      <c r="A16" s="41" t="s">
        <v>103</v>
      </c>
      <c r="B16" s="67">
        <f>SUM(B12:B15)</f>
        <v>600000</v>
      </c>
      <c r="C16" s="67">
        <f t="shared" ref="C16:F16" si="1">SUM(C12:C15)</f>
        <v>0</v>
      </c>
      <c r="D16" s="67">
        <f t="shared" si="1"/>
        <v>300000</v>
      </c>
      <c r="E16" s="67">
        <f t="shared" si="1"/>
        <v>2461846.7410000032</v>
      </c>
      <c r="F16" s="67">
        <f t="shared" si="1"/>
        <v>3361846.7410000036</v>
      </c>
      <c r="I16" s="29"/>
    </row>
    <row r="17" spans="1:21" ht="17.25" hidden="1" customHeight="1" x14ac:dyDescent="0.2">
      <c r="A17" s="41" t="s">
        <v>105</v>
      </c>
      <c r="B17" s="4"/>
      <c r="C17" s="4"/>
      <c r="D17" s="4"/>
      <c r="E17" s="4">
        <v>-360000</v>
      </c>
      <c r="F17" s="4">
        <f>E17</f>
        <v>-360000</v>
      </c>
      <c r="I17" s="29"/>
    </row>
    <row r="18" spans="1:21" ht="17.25" hidden="1" customHeight="1" x14ac:dyDescent="0.2">
      <c r="A18" s="41" t="s">
        <v>106</v>
      </c>
      <c r="B18" s="4"/>
      <c r="C18" s="4"/>
      <c r="D18" s="4"/>
      <c r="E18" s="4">
        <v>-450000</v>
      </c>
      <c r="F18" s="4">
        <f>E18</f>
        <v>-450000</v>
      </c>
      <c r="I18" s="29"/>
    </row>
    <row r="19" spans="1:21" ht="17.25" hidden="1" customHeight="1" x14ac:dyDescent="0.2">
      <c r="A19" s="41" t="s">
        <v>115</v>
      </c>
      <c r="B19" s="57"/>
      <c r="C19" s="57"/>
      <c r="D19" s="57"/>
      <c r="E19" s="57">
        <v>1138318</v>
      </c>
      <c r="F19" s="57">
        <f>E19</f>
        <v>1138318</v>
      </c>
      <c r="I19" s="29"/>
    </row>
    <row r="20" spans="1:21" ht="17.25" customHeight="1" x14ac:dyDescent="0.2">
      <c r="A20" s="41" t="s">
        <v>119</v>
      </c>
      <c r="B20" s="4">
        <f>SUM(B16:B19)</f>
        <v>600000</v>
      </c>
      <c r="C20" s="4">
        <f t="shared" ref="C20:F20" si="2">SUM(C16:C19)</f>
        <v>0</v>
      </c>
      <c r="D20" s="4">
        <f t="shared" si="2"/>
        <v>300000</v>
      </c>
      <c r="E20" s="4">
        <f t="shared" si="2"/>
        <v>2790164.7410000032</v>
      </c>
      <c r="F20" s="4">
        <f t="shared" si="2"/>
        <v>3690164.7410000036</v>
      </c>
      <c r="I20" s="29"/>
    </row>
    <row r="21" spans="1:21" ht="17.25" customHeight="1" x14ac:dyDescent="0.2">
      <c r="A21" s="41" t="s">
        <v>107</v>
      </c>
      <c r="B21" s="2"/>
      <c r="C21" s="2"/>
      <c r="D21" s="2"/>
      <c r="E21" s="65">
        <f>-110000</f>
        <v>-110000</v>
      </c>
      <c r="F21" s="65">
        <f>E21</f>
        <v>-110000</v>
      </c>
      <c r="H21" s="29"/>
      <c r="I21" s="29"/>
    </row>
    <row r="22" spans="1:21" ht="17.25" customHeight="1" x14ac:dyDescent="0.2">
      <c r="A22" s="41" t="s">
        <v>114</v>
      </c>
      <c r="B22" s="2"/>
      <c r="C22" s="2"/>
      <c r="D22" s="2"/>
      <c r="E22" s="65">
        <f>-350000</f>
        <v>-350000</v>
      </c>
      <c r="F22" s="65">
        <f>E22</f>
        <v>-350000</v>
      </c>
      <c r="I22" s="29"/>
    </row>
    <row r="23" spans="1:21" ht="17.25" customHeight="1" x14ac:dyDescent="0.2">
      <c r="A23" s="41" t="s">
        <v>116</v>
      </c>
      <c r="B23" s="2"/>
      <c r="C23" s="2"/>
      <c r="D23" s="2"/>
      <c r="E23" s="29">
        <v>537387.38300000003</v>
      </c>
      <c r="F23" s="65">
        <f>E23</f>
        <v>537387.38300000003</v>
      </c>
      <c r="I23" s="29"/>
    </row>
    <row r="24" spans="1:21" ht="17.25" customHeight="1" x14ac:dyDescent="0.35">
      <c r="A24" s="83" t="s">
        <v>120</v>
      </c>
      <c r="B24" s="67">
        <f>SUM(B20:B23)</f>
        <v>600000</v>
      </c>
      <c r="C24" s="67">
        <f t="shared" ref="C24:F24" si="3">SUM(C20:C23)</f>
        <v>0</v>
      </c>
      <c r="D24" s="67">
        <f t="shared" si="3"/>
        <v>300000</v>
      </c>
      <c r="E24" s="67">
        <f t="shared" si="3"/>
        <v>2867552.1240000031</v>
      </c>
      <c r="F24" s="67">
        <f t="shared" si="3"/>
        <v>3767552.1240000036</v>
      </c>
      <c r="I24" s="29"/>
      <c r="T24" s="168" t="s">
        <v>607</v>
      </c>
      <c r="U24" s="169"/>
    </row>
    <row r="25" spans="1:21" ht="17.25" customHeight="1" x14ac:dyDescent="0.2">
      <c r="A25" s="41" t="s">
        <v>117</v>
      </c>
      <c r="B25" s="2"/>
      <c r="C25" s="2"/>
      <c r="D25" s="2"/>
      <c r="E25" s="65">
        <v>0</v>
      </c>
      <c r="F25" s="65">
        <f>E25</f>
        <v>0</v>
      </c>
      <c r="I25" s="29"/>
    </row>
    <row r="26" spans="1:21" ht="17.25" customHeight="1" x14ac:dyDescent="0.2">
      <c r="A26" s="41" t="s">
        <v>118</v>
      </c>
      <c r="B26" s="2"/>
      <c r="C26" s="2"/>
      <c r="D26" s="2"/>
      <c r="E26" s="65">
        <v>0</v>
      </c>
      <c r="F26" s="65">
        <f>E26</f>
        <v>0</v>
      </c>
      <c r="I26" s="29"/>
    </row>
    <row r="27" spans="1:21" ht="17.25" customHeight="1" x14ac:dyDescent="0.2">
      <c r="A27" s="41" t="s">
        <v>124</v>
      </c>
      <c r="B27" s="57"/>
      <c r="C27" s="57"/>
      <c r="D27" s="57"/>
      <c r="E27" s="87">
        <v>492395.06600000197</v>
      </c>
      <c r="F27" s="87">
        <v>492395.06600000197</v>
      </c>
      <c r="I27" s="82"/>
    </row>
    <row r="28" spans="1:21" ht="17.25" customHeight="1" x14ac:dyDescent="0.2">
      <c r="A28" s="83" t="s">
        <v>125</v>
      </c>
      <c r="B28" s="2">
        <f>SUM(B24:B27)</f>
        <v>600000</v>
      </c>
      <c r="C28" s="2">
        <f t="shared" ref="C28:F28" si="4">SUM(C24:C27)</f>
        <v>0</v>
      </c>
      <c r="D28" s="2">
        <f t="shared" si="4"/>
        <v>300000</v>
      </c>
      <c r="E28" s="2">
        <f t="shared" si="4"/>
        <v>3359947.1900000051</v>
      </c>
      <c r="F28" s="2">
        <f t="shared" si="4"/>
        <v>4259947.1900000051</v>
      </c>
      <c r="I28" s="82"/>
    </row>
    <row r="29" spans="1:21" ht="14.25" customHeight="1" x14ac:dyDescent="0.2">
      <c r="A29" s="41" t="s">
        <v>126</v>
      </c>
      <c r="B29" s="2"/>
      <c r="C29" s="2"/>
      <c r="D29" s="2"/>
      <c r="E29" s="65">
        <v>0</v>
      </c>
      <c r="F29" s="65">
        <v>0</v>
      </c>
      <c r="I29" s="82"/>
    </row>
    <row r="30" spans="1:21" ht="15.75" customHeight="1" x14ac:dyDescent="0.2">
      <c r="A30" s="41" t="s">
        <v>135</v>
      </c>
      <c r="B30" s="2"/>
      <c r="C30" s="2"/>
      <c r="D30" s="2"/>
      <c r="E30" s="65"/>
      <c r="F30" s="65"/>
      <c r="I30" s="82"/>
    </row>
    <row r="31" spans="1:21" ht="17.25" customHeight="1" x14ac:dyDescent="0.2">
      <c r="A31" s="63" t="s">
        <v>93</v>
      </c>
      <c r="B31" s="2"/>
      <c r="C31" s="2"/>
      <c r="D31" s="2"/>
      <c r="E31" s="65">
        <v>142945.02200000035</v>
      </c>
      <c r="F31" s="65">
        <f>E31</f>
        <v>142945.02200000035</v>
      </c>
      <c r="I31" s="82"/>
    </row>
    <row r="32" spans="1:21" ht="18" customHeight="1" x14ac:dyDescent="0.2">
      <c r="A32" s="83" t="s">
        <v>136</v>
      </c>
      <c r="B32" s="104">
        <f>SUM(B28:B31)</f>
        <v>600000</v>
      </c>
      <c r="C32" s="104">
        <f t="shared" ref="C32:F32" si="5">SUM(C28:C31)</f>
        <v>0</v>
      </c>
      <c r="D32" s="104">
        <f t="shared" si="5"/>
        <v>300000</v>
      </c>
      <c r="E32" s="104">
        <f t="shared" si="5"/>
        <v>3502892.2120000054</v>
      </c>
      <c r="F32" s="104">
        <f t="shared" si="5"/>
        <v>4402892.2120000049</v>
      </c>
      <c r="G32" s="101">
        <v>7666</v>
      </c>
      <c r="H32" s="73" t="s">
        <v>133</v>
      </c>
      <c r="I32" s="71" t="s">
        <v>131</v>
      </c>
      <c r="J32" s="71"/>
      <c r="K32" s="71"/>
      <c r="L32" s="71" t="s">
        <v>134</v>
      </c>
    </row>
    <row r="33" spans="1:18" ht="15" customHeight="1" x14ac:dyDescent="0.2">
      <c r="A33" s="41" t="s">
        <v>137</v>
      </c>
      <c r="B33" s="4"/>
      <c r="C33" s="4"/>
      <c r="D33" s="4"/>
      <c r="E33" s="105">
        <v>0</v>
      </c>
      <c r="F33" s="105">
        <v>0</v>
      </c>
      <c r="H33" s="71"/>
      <c r="I33" s="71" t="s">
        <v>132</v>
      </c>
      <c r="J33" s="71"/>
      <c r="K33" s="71"/>
    </row>
    <row r="34" spans="1:18" ht="15" customHeight="1" x14ac:dyDescent="0.2">
      <c r="A34" s="41" t="s">
        <v>138</v>
      </c>
      <c r="B34" s="4"/>
      <c r="C34" s="4"/>
      <c r="D34" s="4"/>
      <c r="E34" s="105">
        <v>0</v>
      </c>
      <c r="F34" s="105">
        <v>0</v>
      </c>
      <c r="H34" s="71"/>
      <c r="I34" s="71"/>
      <c r="J34" s="71"/>
      <c r="K34" s="71"/>
    </row>
    <row r="35" spans="1:18" ht="15" customHeight="1" x14ac:dyDescent="0.2">
      <c r="A35" s="63" t="s">
        <v>93</v>
      </c>
      <c r="B35" s="4"/>
      <c r="C35" s="4"/>
      <c r="D35" s="4"/>
      <c r="E35" s="105">
        <f>319117+7667</f>
        <v>326784</v>
      </c>
      <c r="F35" s="105">
        <f>E35</f>
        <v>326784</v>
      </c>
      <c r="H35" s="71"/>
      <c r="I35" s="71"/>
      <c r="J35" s="71"/>
      <c r="K35" s="71"/>
    </row>
    <row r="36" spans="1:18" ht="15" customHeight="1" x14ac:dyDescent="0.2">
      <c r="A36" s="83" t="s">
        <v>141</v>
      </c>
      <c r="B36" s="67">
        <f>SUM(B32:B35)</f>
        <v>600000</v>
      </c>
      <c r="C36" s="67">
        <f t="shared" ref="C36:F36" si="6">SUM(C32:C35)</f>
        <v>0</v>
      </c>
      <c r="D36" s="67">
        <f t="shared" si="6"/>
        <v>300000</v>
      </c>
      <c r="E36" s="67">
        <f t="shared" si="6"/>
        <v>3829676.2120000054</v>
      </c>
      <c r="F36" s="67">
        <f t="shared" si="6"/>
        <v>4729676.2120000049</v>
      </c>
      <c r="H36" s="71"/>
      <c r="I36" s="71"/>
      <c r="J36" s="71"/>
      <c r="K36" s="71"/>
    </row>
    <row r="37" spans="1:18" ht="15" customHeight="1" x14ac:dyDescent="0.2">
      <c r="A37" s="41" t="s">
        <v>142</v>
      </c>
      <c r="B37" s="4"/>
      <c r="C37" s="4"/>
      <c r="D37" s="4"/>
      <c r="E37" s="105">
        <v>0</v>
      </c>
      <c r="F37" s="105">
        <v>0</v>
      </c>
      <c r="H37" s="71"/>
      <c r="I37" s="71"/>
      <c r="J37" s="71"/>
      <c r="K37" s="71"/>
    </row>
    <row r="38" spans="1:18" ht="15" customHeight="1" x14ac:dyDescent="0.2">
      <c r="A38" s="41" t="s">
        <v>143</v>
      </c>
      <c r="B38" s="4"/>
      <c r="C38" s="4"/>
      <c r="D38" s="4"/>
      <c r="E38" s="105">
        <v>0</v>
      </c>
      <c r="F38" s="105">
        <v>0</v>
      </c>
      <c r="H38" s="71"/>
      <c r="I38" s="71"/>
      <c r="J38" s="71"/>
      <c r="K38" s="71"/>
    </row>
    <row r="39" spans="1:18" ht="16.5" customHeight="1" x14ac:dyDescent="0.2">
      <c r="A39" s="63" t="s">
        <v>93</v>
      </c>
      <c r="B39" s="57"/>
      <c r="C39" s="57"/>
      <c r="D39" s="57"/>
      <c r="E39" s="87">
        <v>524074.48299999954</v>
      </c>
      <c r="F39" s="87">
        <f>E39</f>
        <v>524074.48299999954</v>
      </c>
    </row>
    <row r="40" spans="1:18" ht="16.5" customHeight="1" x14ac:dyDescent="0.2">
      <c r="A40" s="83" t="s">
        <v>148</v>
      </c>
      <c r="B40" s="2">
        <f>SUM(B36:B39)</f>
        <v>600000</v>
      </c>
      <c r="C40" s="2">
        <f t="shared" ref="C40:F40" si="7">SUM(C36:C39)</f>
        <v>0</v>
      </c>
      <c r="D40" s="2">
        <f t="shared" si="7"/>
        <v>300000</v>
      </c>
      <c r="E40" s="2">
        <f t="shared" si="7"/>
        <v>4353750.695000005</v>
      </c>
      <c r="F40" s="2">
        <f t="shared" si="7"/>
        <v>5253750.695000004</v>
      </c>
    </row>
    <row r="41" spans="1:18" ht="16.5" customHeight="1" x14ac:dyDescent="0.2">
      <c r="A41" s="41" t="s">
        <v>149</v>
      </c>
      <c r="B41" s="2"/>
      <c r="C41" s="2"/>
      <c r="D41" s="2"/>
      <c r="E41" s="2"/>
      <c r="F41" s="2"/>
    </row>
    <row r="42" spans="1:18" ht="16.5" customHeight="1" x14ac:dyDescent="0.2">
      <c r="A42" s="41" t="s">
        <v>150</v>
      </c>
      <c r="B42" s="2"/>
      <c r="C42" s="2"/>
      <c r="D42" s="2"/>
      <c r="E42" s="2"/>
      <c r="F42" s="2"/>
    </row>
    <row r="43" spans="1:18" ht="16.5" customHeight="1" x14ac:dyDescent="0.2">
      <c r="A43" s="63" t="s">
        <v>93</v>
      </c>
      <c r="B43" s="57"/>
      <c r="C43" s="57"/>
      <c r="D43" s="57"/>
      <c r="E43" s="115">
        <f>604624-7.05</f>
        <v>604616.94999999995</v>
      </c>
      <c r="F43" s="57">
        <f>+E43</f>
        <v>604616.94999999995</v>
      </c>
    </row>
    <row r="44" spans="1:18" ht="16.5" customHeight="1" x14ac:dyDescent="0.2">
      <c r="A44" s="83" t="s">
        <v>152</v>
      </c>
      <c r="B44" s="2">
        <f>SUM(B40:B43)</f>
        <v>600000</v>
      </c>
      <c r="C44" s="2">
        <f t="shared" ref="C44:F44" si="8">SUM(C40:C43)</f>
        <v>0</v>
      </c>
      <c r="D44" s="2">
        <f t="shared" si="8"/>
        <v>300000</v>
      </c>
      <c r="E44" s="2">
        <f t="shared" si="8"/>
        <v>4958367.6450000051</v>
      </c>
      <c r="F44" s="2">
        <f t="shared" si="8"/>
        <v>5858367.6450000042</v>
      </c>
      <c r="Q44" s="28"/>
    </row>
    <row r="45" spans="1:18" ht="16.5" customHeight="1" x14ac:dyDescent="0.2">
      <c r="A45" s="41" t="s">
        <v>153</v>
      </c>
      <c r="B45" s="2"/>
      <c r="C45" s="2"/>
      <c r="D45" s="2"/>
      <c r="E45" s="2"/>
      <c r="F45" s="2"/>
    </row>
    <row r="46" spans="1:18" ht="16.5" customHeight="1" x14ac:dyDescent="0.2">
      <c r="A46" s="68" t="s">
        <v>205</v>
      </c>
      <c r="B46" s="2"/>
      <c r="C46" s="2"/>
      <c r="D46" s="2"/>
      <c r="E46" s="2">
        <f>-293595-109858</f>
        <v>-403453</v>
      </c>
      <c r="F46" s="2">
        <f>E46</f>
        <v>-403453</v>
      </c>
    </row>
    <row r="47" spans="1:18" ht="16.5" customHeight="1" x14ac:dyDescent="0.2">
      <c r="A47" s="62" t="s">
        <v>93</v>
      </c>
      <c r="B47" s="57"/>
      <c r="C47" s="57"/>
      <c r="D47" s="57"/>
      <c r="E47" s="114">
        <f>647036.665-27281</f>
        <v>619755.66500000004</v>
      </c>
      <c r="F47" s="57">
        <f>+E47</f>
        <v>619755.66500000004</v>
      </c>
      <c r="Q47" s="84"/>
      <c r="R47" s="84"/>
    </row>
    <row r="48" spans="1:18" ht="16.5" customHeight="1" x14ac:dyDescent="0.2">
      <c r="A48" s="83" t="s">
        <v>154</v>
      </c>
      <c r="B48" s="2">
        <f>SUM(B44:B47)</f>
        <v>600000</v>
      </c>
      <c r="C48" s="2">
        <f>SUM(C44:C47)</f>
        <v>0</v>
      </c>
      <c r="D48" s="2">
        <f>SUM(D44:D47)</f>
        <v>300000</v>
      </c>
      <c r="E48" s="2">
        <f>SUM(E44:E47)</f>
        <v>5174670.3100000052</v>
      </c>
      <c r="F48" s="2">
        <f>SUM(F44:F47)</f>
        <v>6074670.3100000042</v>
      </c>
    </row>
    <row r="49" spans="1:16" ht="16.5" customHeight="1" x14ac:dyDescent="0.2">
      <c r="A49" s="83"/>
      <c r="B49" s="2"/>
      <c r="C49" s="2"/>
      <c r="D49" s="2"/>
      <c r="E49" s="2"/>
      <c r="F49" s="2"/>
    </row>
    <row r="50" spans="1:16" ht="16.5" customHeight="1" x14ac:dyDescent="0.2">
      <c r="A50" s="41" t="s">
        <v>174</v>
      </c>
      <c r="B50" s="2"/>
      <c r="C50" s="2"/>
      <c r="D50" s="2"/>
      <c r="E50" s="65"/>
      <c r="F50" s="65"/>
    </row>
    <row r="51" spans="1:16" ht="16.5" customHeight="1" x14ac:dyDescent="0.2">
      <c r="A51" s="41" t="s">
        <v>175</v>
      </c>
      <c r="B51" s="2"/>
      <c r="C51" s="2"/>
      <c r="D51" s="2"/>
      <c r="E51" s="65"/>
      <c r="F51" s="65"/>
    </row>
    <row r="52" spans="1:16" ht="16.5" customHeight="1" x14ac:dyDescent="0.2">
      <c r="A52" s="63" t="s">
        <v>93</v>
      </c>
      <c r="B52" s="2"/>
      <c r="C52" s="2"/>
      <c r="D52" s="2"/>
      <c r="E52" s="65">
        <f>'BS&amp;PL'!D74</f>
        <v>0</v>
      </c>
      <c r="F52" s="65">
        <f>E52</f>
        <v>0</v>
      </c>
    </row>
    <row r="53" spans="1:16" ht="16.5" customHeight="1" x14ac:dyDescent="0.2">
      <c r="A53" s="63"/>
      <c r="B53" s="2"/>
      <c r="C53" s="2"/>
      <c r="D53" s="2"/>
      <c r="E53" s="65"/>
      <c r="F53" s="65"/>
    </row>
    <row r="54" spans="1:16" ht="13.5" thickBot="1" x14ac:dyDescent="0.25">
      <c r="B54" s="11">
        <f>SUM(B48:B53)</f>
        <v>600000</v>
      </c>
      <c r="C54" s="11">
        <f t="shared" ref="C54:F54" si="9">SUM(C48:C53)</f>
        <v>0</v>
      </c>
      <c r="D54" s="11">
        <f t="shared" si="9"/>
        <v>300000</v>
      </c>
      <c r="E54" s="11">
        <f t="shared" si="9"/>
        <v>5174670.3100000052</v>
      </c>
      <c r="F54" s="11">
        <f t="shared" si="9"/>
        <v>6074670.3100000042</v>
      </c>
      <c r="G54" s="11">
        <f t="shared" ref="G54:P54" si="10">SUM(G40:G53)</f>
        <v>0</v>
      </c>
      <c r="H54" s="11">
        <f t="shared" si="10"/>
        <v>0</v>
      </c>
      <c r="I54" s="11">
        <f t="shared" si="10"/>
        <v>0</v>
      </c>
      <c r="J54" s="11">
        <f t="shared" si="10"/>
        <v>0</v>
      </c>
      <c r="K54" s="11">
        <f t="shared" si="10"/>
        <v>0</v>
      </c>
      <c r="L54" s="11">
        <f t="shared" si="10"/>
        <v>0</v>
      </c>
      <c r="M54" s="11">
        <f t="shared" si="10"/>
        <v>0</v>
      </c>
      <c r="N54" s="11">
        <f t="shared" si="10"/>
        <v>0</v>
      </c>
      <c r="O54" s="11">
        <f t="shared" si="10"/>
        <v>0</v>
      </c>
      <c r="P54" s="11">
        <f t="shared" si="10"/>
        <v>0</v>
      </c>
    </row>
    <row r="55" spans="1:16" ht="18" customHeight="1" thickTop="1" x14ac:dyDescent="0.2">
      <c r="E55" s="29"/>
    </row>
    <row r="56" spans="1:16" x14ac:dyDescent="0.2">
      <c r="E56" t="s">
        <v>83</v>
      </c>
    </row>
    <row r="72" ht="15.95" customHeight="1" x14ac:dyDescent="0.2"/>
    <row r="73" ht="15.95" customHeight="1" x14ac:dyDescent="0.2"/>
    <row r="74" ht="15.95" customHeight="1" x14ac:dyDescent="0.2"/>
    <row r="75" ht="15.95" customHeight="1" x14ac:dyDescent="0.2"/>
    <row r="76" ht="15.95" customHeight="1" x14ac:dyDescent="0.2"/>
    <row r="77" ht="15.95" customHeight="1" x14ac:dyDescent="0.2"/>
    <row r="78" ht="15.95" customHeight="1" x14ac:dyDescent="0.2"/>
    <row r="79" ht="15.95" customHeight="1" x14ac:dyDescent="0.2"/>
    <row r="80" ht="15.95" customHeight="1" x14ac:dyDescent="0.2"/>
    <row r="81" ht="15.95" customHeight="1" x14ac:dyDescent="0.2"/>
    <row r="82" ht="15.95" customHeight="1" x14ac:dyDescent="0.2"/>
    <row r="83" ht="15.95" customHeight="1" x14ac:dyDescent="0.2"/>
    <row r="84" ht="15.95" customHeight="1" x14ac:dyDescent="0.2"/>
    <row r="85" ht="15.95" customHeight="1" x14ac:dyDescent="0.2"/>
    <row r="86" ht="15.95" customHeight="1" x14ac:dyDescent="0.2"/>
    <row r="87" ht="15.95" customHeight="1" x14ac:dyDescent="0.2"/>
    <row r="88" ht="15.95" customHeight="1" x14ac:dyDescent="0.2"/>
    <row r="89" ht="15.95" customHeight="1" x14ac:dyDescent="0.2"/>
    <row r="90" ht="15.95" customHeight="1" x14ac:dyDescent="0.2"/>
    <row r="91" ht="15.95" customHeight="1" x14ac:dyDescent="0.2"/>
    <row r="92" ht="15.95" customHeight="1" x14ac:dyDescent="0.2"/>
    <row r="93" ht="15.95" customHeight="1" x14ac:dyDescent="0.2"/>
    <row r="94" ht="15.95" customHeight="1" x14ac:dyDescent="0.2"/>
    <row r="95" ht="15.95" customHeight="1" x14ac:dyDescent="0.2"/>
    <row r="96" ht="15.95" customHeight="1" x14ac:dyDescent="0.2"/>
    <row r="97" ht="15.95" customHeight="1" x14ac:dyDescent="0.2"/>
    <row r="98" ht="15.95" customHeight="1" x14ac:dyDescent="0.2"/>
    <row r="99" ht="15.95" customHeight="1" x14ac:dyDescent="0.2"/>
    <row r="100" ht="15.95" customHeight="1" x14ac:dyDescent="0.2"/>
    <row r="101" ht="15.95" customHeight="1" x14ac:dyDescent="0.2"/>
    <row r="102" ht="15.95" customHeight="1" x14ac:dyDescent="0.2"/>
    <row r="103" ht="15.95" customHeight="1" x14ac:dyDescent="0.2"/>
    <row r="104" ht="15.95" customHeight="1" x14ac:dyDescent="0.2"/>
    <row r="105" ht="15.95" customHeight="1" x14ac:dyDescent="0.2"/>
  </sheetData>
  <phoneticPr fontId="0" type="noConversion"/>
  <pageMargins left="0.5" right="0.25" top="1" bottom="0.25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53"/>
  <sheetViews>
    <sheetView workbookViewId="0">
      <selection activeCell="D10" sqref="D10"/>
    </sheetView>
  </sheetViews>
  <sheetFormatPr defaultRowHeight="15.75" customHeight="1" x14ac:dyDescent="0.2"/>
  <cols>
    <col min="1" max="1" width="6.140625" style="113" customWidth="1"/>
    <col min="2" max="2" width="44.5703125" style="113" customWidth="1"/>
    <col min="3" max="3" width="16.7109375" style="113" customWidth="1"/>
    <col min="4" max="4" width="23.140625" style="209" customWidth="1"/>
    <col min="11" max="11" width="14" bestFit="1" customWidth="1"/>
  </cols>
  <sheetData>
    <row r="1" spans="1:4" ht="15.75" customHeight="1" x14ac:dyDescent="0.2">
      <c r="A1" s="113" t="s">
        <v>611</v>
      </c>
    </row>
    <row r="3" spans="1:4" ht="15.75" customHeight="1" x14ac:dyDescent="0.2">
      <c r="A3" s="90" t="s">
        <v>25</v>
      </c>
      <c r="B3" s="90" t="s">
        <v>26</v>
      </c>
      <c r="C3" s="90" t="s">
        <v>27</v>
      </c>
      <c r="D3" s="210" t="s">
        <v>28</v>
      </c>
    </row>
    <row r="4" spans="1:4" ht="15.75" customHeight="1" x14ac:dyDescent="0.2">
      <c r="A4" s="90"/>
      <c r="D4" s="197"/>
    </row>
    <row r="5" spans="1:4" ht="15.75" customHeight="1" x14ac:dyDescent="0.2">
      <c r="A5" s="90"/>
      <c r="D5" s="197"/>
    </row>
    <row r="6" spans="1:4" ht="15.75" customHeight="1" x14ac:dyDescent="0.2">
      <c r="A6" s="90"/>
      <c r="D6" s="197"/>
    </row>
    <row r="7" spans="1:4" ht="15.75" customHeight="1" x14ac:dyDescent="0.2">
      <c r="A7" s="90"/>
      <c r="D7" s="197"/>
    </row>
    <row r="8" spans="1:4" ht="15.75" customHeight="1" x14ac:dyDescent="0.2">
      <c r="A8" s="90"/>
      <c r="D8" s="197"/>
    </row>
    <row r="9" spans="1:4" ht="15.75" customHeight="1" x14ac:dyDescent="0.2">
      <c r="D9" s="197"/>
    </row>
    <row r="10" spans="1:4" ht="15.75" customHeight="1" x14ac:dyDescent="0.2">
      <c r="D10" s="197"/>
    </row>
    <row r="11" spans="1:4" ht="15.75" customHeight="1" x14ac:dyDescent="0.2">
      <c r="C11" s="172"/>
    </row>
    <row r="12" spans="1:4" ht="15.75" customHeight="1" x14ac:dyDescent="0.2">
      <c r="A12" s="90"/>
      <c r="B12" s="90"/>
      <c r="C12" s="90"/>
      <c r="D12" s="210"/>
    </row>
    <row r="13" spans="1:4" ht="15.75" customHeight="1" x14ac:dyDescent="0.2">
      <c r="A13" s="90"/>
      <c r="D13" s="197"/>
    </row>
    <row r="14" spans="1:4" ht="15.75" customHeight="1" x14ac:dyDescent="0.2">
      <c r="A14" s="90"/>
      <c r="D14" s="197"/>
    </row>
    <row r="15" spans="1:4" ht="15.75" customHeight="1" x14ac:dyDescent="0.2">
      <c r="A15" s="90"/>
      <c r="D15" s="197"/>
    </row>
    <row r="16" spans="1:4" ht="15.75" customHeight="1" x14ac:dyDescent="0.2">
      <c r="A16" s="90"/>
      <c r="D16" s="197"/>
    </row>
    <row r="17" spans="1:4" ht="15.75" customHeight="1" x14ac:dyDescent="0.2">
      <c r="A17" s="90"/>
      <c r="D17" s="197"/>
    </row>
    <row r="18" spans="1:4" ht="15.75" customHeight="1" x14ac:dyDescent="0.2">
      <c r="A18" s="90"/>
      <c r="D18" s="197"/>
    </row>
    <row r="19" spans="1:4" ht="15.75" customHeight="1" x14ac:dyDescent="0.2">
      <c r="A19" s="90"/>
      <c r="D19" s="197"/>
    </row>
    <row r="20" spans="1:4" ht="15.75" customHeight="1" x14ac:dyDescent="0.2">
      <c r="A20" s="90"/>
      <c r="D20" s="197"/>
    </row>
    <row r="21" spans="1:4" ht="15.75" customHeight="1" x14ac:dyDescent="0.2">
      <c r="A21" s="90"/>
      <c r="D21" s="197"/>
    </row>
    <row r="22" spans="1:4" ht="15.75" customHeight="1" x14ac:dyDescent="0.2">
      <c r="A22" s="90"/>
      <c r="D22" s="197"/>
    </row>
    <row r="23" spans="1:4" ht="15.75" customHeight="1" x14ac:dyDescent="0.2">
      <c r="A23" s="90"/>
      <c r="D23" s="197"/>
    </row>
    <row r="24" spans="1:4" ht="15.75" customHeight="1" x14ac:dyDescent="0.2">
      <c r="D24" s="197"/>
    </row>
    <row r="25" spans="1:4" ht="15.75" customHeight="1" x14ac:dyDescent="0.2">
      <c r="C25" s="172"/>
    </row>
    <row r="26" spans="1:4" ht="15.75" customHeight="1" x14ac:dyDescent="0.2">
      <c r="A26" s="90"/>
      <c r="B26" s="90"/>
      <c r="C26" s="90"/>
      <c r="D26" s="210"/>
    </row>
    <row r="27" spans="1:4" ht="15.75" customHeight="1" x14ac:dyDescent="0.2">
      <c r="A27" s="90"/>
      <c r="D27" s="196"/>
    </row>
    <row r="28" spans="1:4" ht="15.75" customHeight="1" x14ac:dyDescent="0.2">
      <c r="A28" s="90"/>
      <c r="D28" s="196"/>
    </row>
    <row r="29" spans="1:4" ht="15.75" customHeight="1" x14ac:dyDescent="0.2">
      <c r="A29" s="90"/>
      <c r="D29" s="196"/>
    </row>
    <row r="30" spans="1:4" ht="15.75" customHeight="1" x14ac:dyDescent="0.2">
      <c r="A30" s="90"/>
      <c r="D30" s="196"/>
    </row>
    <row r="31" spans="1:4" ht="15.75" customHeight="1" x14ac:dyDescent="0.2">
      <c r="A31" s="90"/>
      <c r="D31" s="197"/>
    </row>
    <row r="32" spans="1:4" ht="15.75" customHeight="1" x14ac:dyDescent="0.2">
      <c r="A32" s="90"/>
      <c r="D32" s="197"/>
    </row>
    <row r="33" spans="1:55" s="101" customFormat="1" ht="15.75" customHeight="1" x14ac:dyDescent="0.2">
      <c r="A33" s="245"/>
      <c r="B33" s="170"/>
      <c r="C33" s="170"/>
      <c r="D33" s="196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s="101" customFormat="1" ht="15.75" customHeight="1" x14ac:dyDescent="0.2">
      <c r="A34" s="170"/>
      <c r="B34" s="170"/>
      <c r="C34" s="173"/>
      <c r="D34" s="207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s="101" customFormat="1" ht="15.75" customHeight="1" x14ac:dyDescent="0.2">
      <c r="A35" s="245"/>
      <c r="B35" s="245"/>
      <c r="C35" s="245"/>
      <c r="D35" s="211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1:55" s="101" customFormat="1" ht="15.75" customHeight="1" x14ac:dyDescent="0.2">
      <c r="A36" s="245"/>
      <c r="B36" s="170"/>
      <c r="C36" s="170"/>
      <c r="D36" s="19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s="101" customFormat="1" ht="15.75" customHeight="1" x14ac:dyDescent="0.2">
      <c r="A37" s="245"/>
      <c r="B37" s="170"/>
      <c r="C37" s="170"/>
      <c r="D37" s="196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s="101" customFormat="1" ht="15.75" customHeight="1" x14ac:dyDescent="0.2">
      <c r="A38" s="245"/>
      <c r="B38" s="170"/>
      <c r="C38" s="170"/>
      <c r="D38" s="196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s="101" customFormat="1" ht="15.75" customHeight="1" x14ac:dyDescent="0.2">
      <c r="A39" s="245"/>
      <c r="B39" s="170"/>
      <c r="C39" s="170"/>
      <c r="D39" s="196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1:55" s="101" customFormat="1" ht="15.75" customHeight="1" x14ac:dyDescent="0.2">
      <c r="A40" s="245"/>
      <c r="B40" s="170"/>
      <c r="C40" s="170"/>
      <c r="D40" s="196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1:55" s="101" customFormat="1" ht="15.75" customHeight="1" x14ac:dyDescent="0.2">
      <c r="A41" s="245"/>
      <c r="B41" s="170"/>
      <c r="C41" s="170"/>
      <c r="D41" s="196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1:55" s="101" customFormat="1" ht="15.75" customHeight="1" x14ac:dyDescent="0.2">
      <c r="A42" s="245"/>
      <c r="B42" s="170"/>
      <c r="C42" s="170"/>
      <c r="D42" s="196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1:55" s="101" customFormat="1" ht="15.75" customHeight="1" x14ac:dyDescent="0.2">
      <c r="A43" s="245"/>
      <c r="B43" s="170"/>
      <c r="C43" s="170"/>
      <c r="D43" s="196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1:55" s="101" customFormat="1" ht="15.75" customHeight="1" x14ac:dyDescent="0.2">
      <c r="A44" s="245"/>
      <c r="B44" s="170"/>
      <c r="C44" s="170"/>
      <c r="D44" s="196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1:55" ht="15.75" customHeight="1" x14ac:dyDescent="0.2">
      <c r="C45" s="172"/>
    </row>
    <row r="46" spans="1:55" ht="15.75" customHeight="1" x14ac:dyDescent="0.2">
      <c r="A46" s="90"/>
      <c r="B46" s="90"/>
      <c r="C46" s="90"/>
      <c r="D46" s="210"/>
    </row>
    <row r="47" spans="1:55" ht="15.75" customHeight="1" x14ac:dyDescent="0.2">
      <c r="A47" s="90"/>
      <c r="D47" s="197"/>
    </row>
    <row r="48" spans="1:55" ht="15.75" customHeight="1" x14ac:dyDescent="0.2">
      <c r="A48" s="90"/>
      <c r="D48" s="197"/>
    </row>
    <row r="49" spans="1:55" ht="15.75" customHeight="1" x14ac:dyDescent="0.2">
      <c r="A49" s="90"/>
      <c r="D49" s="197"/>
    </row>
    <row r="50" spans="1:55" s="41" customFormat="1" ht="15.75" customHeight="1" x14ac:dyDescent="0.2">
      <c r="A50" s="90"/>
      <c r="B50" s="113"/>
      <c r="C50" s="113"/>
      <c r="D50" s="196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1:55" s="41" customFormat="1" ht="15.75" customHeight="1" x14ac:dyDescent="0.2">
      <c r="A51" s="90"/>
      <c r="B51" s="113"/>
      <c r="C51" s="113"/>
      <c r="D51" s="196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1:55" s="41" customFormat="1" ht="15.75" customHeight="1" x14ac:dyDescent="0.2">
      <c r="A52" s="90"/>
      <c r="B52" s="113"/>
      <c r="C52" s="113"/>
      <c r="D52" s="196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1:55" ht="15.75" customHeight="1" x14ac:dyDescent="0.2">
      <c r="A53" s="90"/>
      <c r="D53" s="197"/>
    </row>
    <row r="54" spans="1:55" ht="15.75" customHeight="1" x14ac:dyDescent="0.2">
      <c r="A54" s="90"/>
      <c r="D54" s="197"/>
    </row>
    <row r="55" spans="1:55" s="101" customFormat="1" ht="15.75" customHeight="1" x14ac:dyDescent="0.2">
      <c r="A55" s="90"/>
      <c r="B55" s="170"/>
      <c r="C55" s="170"/>
      <c r="D55" s="196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1:55" s="101" customFormat="1" ht="15.75" customHeight="1" x14ac:dyDescent="0.2">
      <c r="A56" s="90"/>
      <c r="B56" s="170"/>
      <c r="C56" s="170"/>
      <c r="D56" s="212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1:55" ht="15.75" customHeight="1" x14ac:dyDescent="0.2">
      <c r="A57" s="90"/>
      <c r="D57" s="197"/>
    </row>
    <row r="58" spans="1:55" ht="15.75" customHeight="1" x14ac:dyDescent="0.2">
      <c r="A58" s="90"/>
      <c r="D58" s="197"/>
    </row>
    <row r="60" spans="1:55" ht="15.75" customHeight="1" x14ac:dyDescent="0.2">
      <c r="A60" s="90"/>
      <c r="B60" s="90"/>
      <c r="C60" s="90"/>
      <c r="D60" s="210"/>
    </row>
    <row r="61" spans="1:55" ht="15.75" customHeight="1" x14ac:dyDescent="0.2">
      <c r="A61" s="90"/>
    </row>
    <row r="62" spans="1:55" ht="15.75" customHeight="1" x14ac:dyDescent="0.2">
      <c r="A62" s="90"/>
    </row>
    <row r="63" spans="1:55" ht="15.75" customHeight="1" x14ac:dyDescent="0.2">
      <c r="A63" s="90"/>
    </row>
    <row r="64" spans="1:55" ht="15.75" customHeight="1" x14ac:dyDescent="0.2">
      <c r="D64" s="207"/>
    </row>
    <row r="66" spans="1:4" ht="15.75" customHeight="1" x14ac:dyDescent="0.2">
      <c r="A66" s="90"/>
      <c r="B66" s="90"/>
      <c r="C66" s="90"/>
      <c r="D66" s="210"/>
    </row>
    <row r="67" spans="1:4" ht="15.75" customHeight="1" x14ac:dyDescent="0.2">
      <c r="A67" s="90"/>
      <c r="B67" s="170"/>
      <c r="C67" s="170"/>
      <c r="D67" s="196"/>
    </row>
    <row r="68" spans="1:4" ht="15.75" customHeight="1" x14ac:dyDescent="0.2">
      <c r="A68" s="90"/>
      <c r="B68" s="170"/>
      <c r="C68" s="170"/>
      <c r="D68" s="207"/>
    </row>
    <row r="69" spans="1:4" ht="15.75" customHeight="1" x14ac:dyDescent="0.2">
      <c r="B69" s="170"/>
      <c r="C69" s="170"/>
      <c r="D69" s="207"/>
    </row>
    <row r="73" spans="1:4" ht="15.75" customHeight="1" x14ac:dyDescent="0.2">
      <c r="C73" s="246"/>
    </row>
    <row r="75" spans="1:4" ht="15.75" customHeight="1" x14ac:dyDescent="0.2">
      <c r="A75" s="90"/>
      <c r="B75" s="90"/>
      <c r="C75" s="90"/>
      <c r="D75" s="210"/>
    </row>
    <row r="76" spans="1:4" ht="15.75" customHeight="1" x14ac:dyDescent="0.2">
      <c r="A76" s="90"/>
    </row>
    <row r="77" spans="1:4" ht="15.75" customHeight="1" x14ac:dyDescent="0.2">
      <c r="A77" s="90"/>
    </row>
    <row r="78" spans="1:4" ht="15.75" customHeight="1" x14ac:dyDescent="0.2">
      <c r="A78" s="90"/>
    </row>
    <row r="79" spans="1:4" ht="15.75" customHeight="1" x14ac:dyDescent="0.2">
      <c r="A79" s="90"/>
    </row>
    <row r="84" spans="1:4" ht="15.75" customHeight="1" x14ac:dyDescent="0.2">
      <c r="A84" s="90"/>
      <c r="B84" s="90"/>
      <c r="C84" s="90"/>
      <c r="D84" s="210"/>
    </row>
    <row r="85" spans="1:4" ht="15.75" customHeight="1" x14ac:dyDescent="0.2">
      <c r="A85" s="90"/>
    </row>
    <row r="86" spans="1:4" ht="15.75" customHeight="1" x14ac:dyDescent="0.2">
      <c r="A86" s="90"/>
    </row>
    <row r="91" spans="1:4" ht="15.75" customHeight="1" x14ac:dyDescent="0.2">
      <c r="A91" s="90"/>
      <c r="B91" s="90"/>
      <c r="C91" s="90"/>
      <c r="D91" s="210"/>
    </row>
    <row r="92" spans="1:4" ht="15.75" customHeight="1" x14ac:dyDescent="0.2">
      <c r="A92" s="90"/>
    </row>
    <row r="93" spans="1:4" ht="15.75" customHeight="1" x14ac:dyDescent="0.2">
      <c r="A93" s="90"/>
    </row>
    <row r="94" spans="1:4" ht="15.75" customHeight="1" x14ac:dyDescent="0.2">
      <c r="A94" s="90"/>
    </row>
    <row r="100" spans="1:4" ht="15.75" customHeight="1" x14ac:dyDescent="0.2">
      <c r="A100" s="90"/>
      <c r="B100" s="90"/>
      <c r="C100" s="90"/>
      <c r="D100" s="210"/>
    </row>
    <row r="101" spans="1:4" ht="15.75" customHeight="1" x14ac:dyDescent="0.2">
      <c r="A101" s="90"/>
    </row>
    <row r="102" spans="1:4" ht="15.75" customHeight="1" x14ac:dyDescent="0.2">
      <c r="A102" s="90"/>
      <c r="D102" s="197"/>
    </row>
    <row r="103" spans="1:4" ht="15.75" customHeight="1" x14ac:dyDescent="0.2">
      <c r="A103" s="90"/>
    </row>
    <row r="109" spans="1:4" ht="15.75" customHeight="1" x14ac:dyDescent="0.2">
      <c r="A109" s="90"/>
      <c r="B109" s="90"/>
      <c r="C109" s="90"/>
      <c r="D109" s="210"/>
    </row>
    <row r="110" spans="1:4" ht="15.75" customHeight="1" x14ac:dyDescent="0.2">
      <c r="A110" s="90"/>
    </row>
    <row r="111" spans="1:4" ht="15.75" customHeight="1" x14ac:dyDescent="0.2">
      <c r="A111" s="90"/>
    </row>
    <row r="112" spans="1:4" ht="15.75" customHeight="1" x14ac:dyDescent="0.2">
      <c r="A112" s="90"/>
    </row>
    <row r="114" spans="3:4" ht="15.75" customHeight="1" x14ac:dyDescent="0.2">
      <c r="C114" s="247"/>
    </row>
    <row r="115" spans="3:4" ht="15.75" customHeight="1" x14ac:dyDescent="0.2">
      <c r="C115" s="247"/>
    </row>
    <row r="116" spans="3:4" ht="15.75" customHeight="1" x14ac:dyDescent="0.2">
      <c r="C116" s="247"/>
    </row>
    <row r="117" spans="3:4" ht="15.75" customHeight="1" x14ac:dyDescent="0.2">
      <c r="C117" s="247"/>
    </row>
    <row r="118" spans="3:4" ht="15.75" customHeight="1" x14ac:dyDescent="0.2">
      <c r="C118" s="247"/>
    </row>
    <row r="119" spans="3:4" ht="15.75" customHeight="1" x14ac:dyDescent="0.2">
      <c r="C119" s="247"/>
    </row>
    <row r="120" spans="3:4" ht="15.75" customHeight="1" x14ac:dyDescent="0.2">
      <c r="D120" s="197"/>
    </row>
    <row r="121" spans="3:4" ht="15.75" customHeight="1" x14ac:dyDescent="0.2">
      <c r="D121" s="197"/>
    </row>
    <row r="126" spans="3:4" ht="15.75" customHeight="1" x14ac:dyDescent="0.2">
      <c r="C126" s="247"/>
    </row>
    <row r="127" spans="3:4" ht="15.75" customHeight="1" x14ac:dyDescent="0.2">
      <c r="C127" s="247"/>
    </row>
    <row r="128" spans="3:4" ht="15.75" customHeight="1" x14ac:dyDescent="0.2">
      <c r="C128" s="247"/>
    </row>
    <row r="129" spans="1:4" ht="15.75" customHeight="1" x14ac:dyDescent="0.2">
      <c r="C129" s="247"/>
    </row>
    <row r="131" spans="1:4" ht="15.75" customHeight="1" x14ac:dyDescent="0.2">
      <c r="A131" s="90"/>
      <c r="B131" s="90"/>
      <c r="C131" s="90"/>
      <c r="D131" s="210"/>
    </row>
    <row r="132" spans="1:4" ht="15.75" customHeight="1" x14ac:dyDescent="0.2">
      <c r="A132" s="90"/>
      <c r="D132" s="197"/>
    </row>
    <row r="133" spans="1:4" ht="15.75" customHeight="1" x14ac:dyDescent="0.2">
      <c r="A133" s="90"/>
      <c r="D133" s="197"/>
    </row>
    <row r="134" spans="1:4" ht="15.75" customHeight="1" x14ac:dyDescent="0.2">
      <c r="A134" s="90"/>
      <c r="D134" s="197"/>
    </row>
    <row r="135" spans="1:4" ht="15.75" customHeight="1" x14ac:dyDescent="0.2">
      <c r="A135" s="90"/>
      <c r="D135" s="197"/>
    </row>
    <row r="136" spans="1:4" ht="15.75" customHeight="1" x14ac:dyDescent="0.2">
      <c r="A136" s="90"/>
      <c r="D136" s="197"/>
    </row>
    <row r="137" spans="1:4" ht="15.75" customHeight="1" x14ac:dyDescent="0.2">
      <c r="D137" s="197"/>
    </row>
    <row r="147" spans="1:4" ht="15.75" customHeight="1" x14ac:dyDescent="0.2">
      <c r="A147" s="90"/>
      <c r="B147" s="90"/>
      <c r="C147" s="90"/>
      <c r="D147" s="210"/>
    </row>
    <row r="148" spans="1:4" ht="15.75" customHeight="1" x14ac:dyDescent="0.2">
      <c r="A148" s="90"/>
      <c r="D148" s="197"/>
    </row>
    <row r="149" spans="1:4" ht="15.75" customHeight="1" x14ac:dyDescent="0.2">
      <c r="A149" s="90"/>
      <c r="D149" s="197"/>
    </row>
    <row r="150" spans="1:4" ht="15.75" customHeight="1" x14ac:dyDescent="0.2">
      <c r="A150" s="90"/>
      <c r="D150" s="197"/>
    </row>
    <row r="151" spans="1:4" ht="15.75" customHeight="1" x14ac:dyDescent="0.2">
      <c r="A151" s="90"/>
      <c r="D151" s="212"/>
    </row>
    <row r="152" spans="1:4" ht="15.75" customHeight="1" x14ac:dyDescent="0.2">
      <c r="A152" s="90"/>
      <c r="D152" s="197"/>
    </row>
    <row r="153" spans="1:4" ht="15.75" customHeight="1" x14ac:dyDescent="0.2">
      <c r="D153" s="197"/>
    </row>
  </sheetData>
  <phoneticPr fontId="0" type="noConversion"/>
  <pageMargins left="1.25" right="0.75" top="0" bottom="0" header="0.5" footer="0.5"/>
  <pageSetup scale="9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9"/>
  <sheetViews>
    <sheetView workbookViewId="0">
      <selection sqref="A1:D1048576"/>
    </sheetView>
  </sheetViews>
  <sheetFormatPr defaultRowHeight="16.5" customHeight="1" x14ac:dyDescent="0.2"/>
  <cols>
    <col min="1" max="3" width="26.7109375" style="76" customWidth="1"/>
    <col min="4" max="4" width="26.7109375" style="214" customWidth="1"/>
    <col min="5" max="16384" width="9.140625" style="74"/>
  </cols>
  <sheetData>
    <row r="1" spans="1:4" ht="16.5" customHeight="1" x14ac:dyDescent="0.2">
      <c r="A1" s="174"/>
    </row>
    <row r="2" spans="1:4" ht="16.5" customHeight="1" x14ac:dyDescent="0.2">
      <c r="A2" s="174" t="s">
        <v>59</v>
      </c>
      <c r="C2" s="75" t="s">
        <v>608</v>
      </c>
    </row>
    <row r="3" spans="1:4" ht="16.5" customHeight="1" x14ac:dyDescent="0.2">
      <c r="A3" s="75" t="s">
        <v>11</v>
      </c>
      <c r="B3" s="75" t="s">
        <v>49</v>
      </c>
      <c r="C3" s="75" t="s">
        <v>48</v>
      </c>
      <c r="D3" s="213" t="s">
        <v>35</v>
      </c>
    </row>
    <row r="4" spans="1:4" ht="16.5" customHeight="1" x14ac:dyDescent="0.2">
      <c r="A4" s="75"/>
    </row>
    <row r="5" spans="1:4" ht="16.5" customHeight="1" x14ac:dyDescent="0.2">
      <c r="A5" s="75"/>
      <c r="B5" s="52"/>
    </row>
    <row r="6" spans="1:4" ht="16.5" customHeight="1" x14ac:dyDescent="0.2">
      <c r="A6" s="75"/>
    </row>
    <row r="7" spans="1:4" ht="16.5" customHeight="1" x14ac:dyDescent="0.2">
      <c r="A7" s="75"/>
      <c r="B7" s="52"/>
    </row>
    <row r="8" spans="1:4" ht="16.5" customHeight="1" x14ac:dyDescent="0.2">
      <c r="A8" s="75"/>
      <c r="B8" s="88"/>
    </row>
    <row r="9" spans="1:4" ht="16.5" customHeight="1" x14ac:dyDescent="0.2">
      <c r="A9" s="75"/>
    </row>
    <row r="10" spans="1:4" ht="16.5" customHeight="1" x14ac:dyDescent="0.2">
      <c r="A10" s="75"/>
    </row>
    <row r="11" spans="1:4" ht="16.5" customHeight="1" x14ac:dyDescent="0.2">
      <c r="A11" s="75"/>
    </row>
    <row r="12" spans="1:4" s="103" customFormat="1" ht="16.5" customHeight="1" x14ac:dyDescent="0.2">
      <c r="A12" s="75"/>
      <c r="B12" s="102"/>
      <c r="C12" s="102"/>
      <c r="D12" s="214"/>
    </row>
    <row r="13" spans="1:4" s="103" customFormat="1" ht="16.5" customHeight="1" x14ac:dyDescent="0.2">
      <c r="A13" s="75"/>
      <c r="B13" s="102"/>
      <c r="C13" s="102"/>
      <c r="D13" s="214"/>
    </row>
    <row r="14" spans="1:4" s="103" customFormat="1" ht="16.5" customHeight="1" x14ac:dyDescent="0.2">
      <c r="A14" s="75"/>
      <c r="B14" s="113"/>
      <c r="C14" s="113"/>
      <c r="D14" s="214"/>
    </row>
    <row r="15" spans="1:4" s="103" customFormat="1" ht="16.5" customHeight="1" x14ac:dyDescent="0.2">
      <c r="A15" s="75"/>
      <c r="B15" s="102"/>
      <c r="C15" s="102"/>
      <c r="D15" s="215"/>
    </row>
    <row r="16" spans="1:4" s="103" customFormat="1" ht="16.5" customHeight="1" x14ac:dyDescent="0.2">
      <c r="A16" s="75"/>
      <c r="B16" s="52"/>
      <c r="C16" s="102"/>
      <c r="D16" s="215"/>
    </row>
    <row r="19" spans="1:5" ht="16.5" customHeight="1" x14ac:dyDescent="0.2">
      <c r="A19" s="174"/>
      <c r="C19" s="75"/>
    </row>
    <row r="20" spans="1:5" ht="16.5" customHeight="1" x14ac:dyDescent="0.2">
      <c r="A20" s="75"/>
      <c r="B20" s="75"/>
      <c r="C20" s="75"/>
      <c r="D20" s="213"/>
    </row>
    <row r="21" spans="1:5" ht="16.5" customHeight="1" x14ac:dyDescent="0.2">
      <c r="A21" s="75"/>
      <c r="B21" s="102"/>
      <c r="C21" s="102"/>
    </row>
    <row r="22" spans="1:5" ht="16.5" customHeight="1" x14ac:dyDescent="0.2">
      <c r="A22" s="75"/>
      <c r="B22" s="52"/>
      <c r="C22" s="52"/>
      <c r="D22" s="216"/>
    </row>
    <row r="23" spans="1:5" ht="16.5" customHeight="1" x14ac:dyDescent="0.2">
      <c r="A23" s="75"/>
      <c r="B23" s="52"/>
      <c r="C23" s="52"/>
      <c r="D23" s="216"/>
      <c r="E23" s="112"/>
    </row>
    <row r="24" spans="1:5" ht="16.5" customHeight="1" x14ac:dyDescent="0.2">
      <c r="A24" s="75"/>
      <c r="B24" s="52"/>
      <c r="C24" s="52"/>
      <c r="D24" s="216"/>
      <c r="E24" s="112"/>
    </row>
    <row r="25" spans="1:5" ht="16.5" customHeight="1" x14ac:dyDescent="0.2">
      <c r="A25" s="75"/>
      <c r="B25" s="52"/>
      <c r="C25" s="52"/>
      <c r="D25" s="216"/>
      <c r="E25" s="112"/>
    </row>
    <row r="26" spans="1:5" ht="16.5" customHeight="1" x14ac:dyDescent="0.2">
      <c r="A26" s="75"/>
      <c r="B26" s="52"/>
      <c r="C26" s="52"/>
      <c r="D26" s="216"/>
      <c r="E26" s="112"/>
    </row>
    <row r="27" spans="1:5" ht="16.5" customHeight="1" x14ac:dyDescent="0.2">
      <c r="A27" s="75"/>
      <c r="B27" s="52"/>
      <c r="C27" s="52"/>
      <c r="D27" s="216"/>
      <c r="E27" s="112"/>
    </row>
    <row r="28" spans="1:5" ht="16.5" customHeight="1" x14ac:dyDescent="0.2">
      <c r="A28" s="75"/>
      <c r="B28" s="113"/>
      <c r="C28" s="52"/>
      <c r="D28" s="217"/>
      <c r="E28" s="112"/>
    </row>
    <row r="31" spans="1:5" ht="16.5" customHeight="1" x14ac:dyDescent="0.2">
      <c r="A31" s="174"/>
      <c r="C31" s="75"/>
    </row>
    <row r="32" spans="1:5" ht="16.5" customHeight="1" x14ac:dyDescent="0.2">
      <c r="A32" s="75"/>
      <c r="B32" s="75"/>
      <c r="C32" s="75"/>
      <c r="D32" s="213"/>
    </row>
    <row r="33" spans="1:4" ht="16.5" customHeight="1" x14ac:dyDescent="0.2">
      <c r="A33" s="75"/>
    </row>
    <row r="34" spans="1:4" ht="16.5" customHeight="1" x14ac:dyDescent="0.2">
      <c r="A34" s="75"/>
    </row>
    <row r="35" spans="1:4" ht="16.5" customHeight="1" x14ac:dyDescent="0.2">
      <c r="A35" s="75"/>
    </row>
    <row r="36" spans="1:4" ht="16.5" customHeight="1" x14ac:dyDescent="0.2">
      <c r="A36" s="75"/>
    </row>
    <row r="37" spans="1:4" ht="16.5" customHeight="1" x14ac:dyDescent="0.2">
      <c r="A37" s="75"/>
      <c r="B37" s="113"/>
      <c r="C37" s="113"/>
    </row>
    <row r="38" spans="1:4" ht="16.5" customHeight="1" x14ac:dyDescent="0.2">
      <c r="A38" s="75"/>
      <c r="B38" s="52"/>
      <c r="C38" s="113"/>
    </row>
    <row r="39" spans="1:4" ht="16.5" customHeight="1" x14ac:dyDescent="0.2">
      <c r="A39" s="75"/>
      <c r="D39" s="218"/>
    </row>
    <row r="40" spans="1:4" ht="16.5" customHeight="1" x14ac:dyDescent="0.2">
      <c r="A40" s="75"/>
    </row>
    <row r="42" spans="1:4" ht="16.5" customHeight="1" x14ac:dyDescent="0.2">
      <c r="C42" s="75"/>
    </row>
    <row r="43" spans="1:4" ht="16.5" customHeight="1" x14ac:dyDescent="0.2">
      <c r="A43" s="75"/>
      <c r="B43" s="75"/>
      <c r="C43" s="75"/>
      <c r="D43" s="213"/>
    </row>
    <row r="44" spans="1:4" ht="16.5" customHeight="1" x14ac:dyDescent="0.2">
      <c r="A44" s="75"/>
      <c r="B44" s="110"/>
      <c r="C44" s="110"/>
      <c r="D44" s="219"/>
    </row>
    <row r="45" spans="1:4" ht="16.5" customHeight="1" x14ac:dyDescent="0.2">
      <c r="A45" s="75"/>
      <c r="B45" s="110"/>
      <c r="C45" s="110"/>
      <c r="D45" s="219"/>
    </row>
    <row r="46" spans="1:4" ht="16.5" customHeight="1" x14ac:dyDescent="0.2">
      <c r="A46" s="75"/>
      <c r="B46" s="52"/>
      <c r="D46" s="219"/>
    </row>
    <row r="47" spans="1:4" ht="16.5" customHeight="1" x14ac:dyDescent="0.2">
      <c r="A47" s="75"/>
      <c r="B47" s="52"/>
      <c r="D47" s="219"/>
    </row>
    <row r="48" spans="1:4" ht="16.5" customHeight="1" x14ac:dyDescent="0.2">
      <c r="A48" s="75"/>
      <c r="B48" s="52"/>
      <c r="D48" s="219"/>
    </row>
    <row r="49" spans="1:5" ht="16.5" customHeight="1" x14ac:dyDescent="0.2">
      <c r="A49" s="75"/>
      <c r="B49" s="52"/>
      <c r="D49" s="219"/>
    </row>
    <row r="50" spans="1:5" ht="16.5" customHeight="1" x14ac:dyDescent="0.2">
      <c r="A50" s="75"/>
      <c r="D50" s="220"/>
      <c r="E50" s="112"/>
    </row>
    <row r="52" spans="1:5" ht="16.5" customHeight="1" x14ac:dyDescent="0.2">
      <c r="C52" s="75"/>
    </row>
    <row r="53" spans="1:5" ht="16.5" customHeight="1" x14ac:dyDescent="0.2">
      <c r="A53" s="75"/>
      <c r="B53" s="75"/>
      <c r="C53" s="75"/>
      <c r="D53" s="213"/>
    </row>
    <row r="54" spans="1:5" ht="16.5" customHeight="1" x14ac:dyDescent="0.2">
      <c r="A54" s="77"/>
      <c r="B54" s="78"/>
      <c r="C54" s="78"/>
      <c r="D54" s="221"/>
    </row>
    <row r="55" spans="1:5" ht="16.5" customHeight="1" x14ac:dyDescent="0.2">
      <c r="A55" s="77"/>
      <c r="B55" s="78"/>
      <c r="C55" s="78"/>
      <c r="D55" s="221"/>
    </row>
    <row r="56" spans="1:5" ht="16.5" customHeight="1" x14ac:dyDescent="0.2">
      <c r="A56" s="77"/>
      <c r="B56" s="78"/>
      <c r="C56" s="78"/>
      <c r="D56" s="221"/>
    </row>
    <row r="57" spans="1:5" ht="16.5" customHeight="1" x14ac:dyDescent="0.2">
      <c r="A57" s="77"/>
      <c r="B57" s="78"/>
      <c r="C57" s="78"/>
      <c r="D57" s="221"/>
    </row>
    <row r="58" spans="1:5" ht="16.5" customHeight="1" x14ac:dyDescent="0.2">
      <c r="A58" s="77"/>
      <c r="B58" s="78"/>
      <c r="C58" s="78"/>
    </row>
    <row r="59" spans="1:5" ht="16.5" customHeight="1" x14ac:dyDescent="0.2">
      <c r="A59" s="75"/>
      <c r="D59" s="220"/>
    </row>
  </sheetData>
  <phoneticPr fontId="0" type="noConversion"/>
  <pageMargins left="1" right="0.75" top="0.25" bottom="0.25" header="0.5" footer="0.5"/>
  <pageSetup scale="9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68"/>
  <sheetViews>
    <sheetView workbookViewId="0">
      <selection activeCell="C101" sqref="C101"/>
    </sheetView>
  </sheetViews>
  <sheetFormatPr defaultRowHeight="21" customHeight="1" x14ac:dyDescent="0.2"/>
  <cols>
    <col min="1" max="1" width="6.42578125" customWidth="1"/>
    <col min="2" max="2" width="60.5703125" customWidth="1"/>
    <col min="3" max="3" width="17.28515625" style="228" customWidth="1"/>
  </cols>
  <sheetData>
    <row r="1" spans="1:3" ht="21" customHeight="1" x14ac:dyDescent="0.2">
      <c r="A1" t="s">
        <v>33</v>
      </c>
      <c r="C1" s="222" t="s">
        <v>609</v>
      </c>
    </row>
    <row r="2" spans="1:3" ht="21" customHeight="1" x14ac:dyDescent="0.2">
      <c r="A2" s="15" t="s">
        <v>34</v>
      </c>
      <c r="B2" s="15" t="s">
        <v>12</v>
      </c>
      <c r="C2" s="223" t="s">
        <v>35</v>
      </c>
    </row>
    <row r="3" spans="1:3" ht="21" customHeight="1" x14ac:dyDescent="0.2">
      <c r="A3" s="15"/>
      <c r="B3" s="14"/>
      <c r="C3" s="224"/>
    </row>
    <row r="4" spans="1:3" ht="21" customHeight="1" x14ac:dyDescent="0.2">
      <c r="A4" s="15"/>
      <c r="B4" s="14"/>
      <c r="C4" s="224"/>
    </row>
    <row r="5" spans="1:3" ht="21" customHeight="1" x14ac:dyDescent="0.2">
      <c r="A5" s="15"/>
      <c r="B5" s="14"/>
      <c r="C5" s="224"/>
    </row>
    <row r="6" spans="1:3" ht="21" customHeight="1" x14ac:dyDescent="0.2">
      <c r="A6" s="15"/>
      <c r="B6" s="14"/>
      <c r="C6" s="224"/>
    </row>
    <row r="7" spans="1:3" ht="21" customHeight="1" x14ac:dyDescent="0.2">
      <c r="A7" s="15"/>
      <c r="B7" s="14"/>
      <c r="C7" s="224"/>
    </row>
    <row r="8" spans="1:3" ht="21" customHeight="1" x14ac:dyDescent="0.2">
      <c r="A8" s="15"/>
      <c r="B8" s="14"/>
      <c r="C8" s="224"/>
    </row>
    <row r="9" spans="1:3" ht="21" customHeight="1" x14ac:dyDescent="0.2">
      <c r="A9" s="15"/>
      <c r="B9" s="14"/>
      <c r="C9" s="224"/>
    </row>
    <row r="10" spans="1:3" ht="21" customHeight="1" x14ac:dyDescent="0.2">
      <c r="A10" s="15"/>
      <c r="B10" s="14"/>
      <c r="C10" s="224"/>
    </row>
    <row r="11" spans="1:3" ht="21" customHeight="1" x14ac:dyDescent="0.2">
      <c r="A11" s="15"/>
      <c r="B11" s="14"/>
      <c r="C11" s="224"/>
    </row>
    <row r="12" spans="1:3" ht="21" customHeight="1" x14ac:dyDescent="0.2">
      <c r="A12" s="15"/>
      <c r="B12" s="14"/>
      <c r="C12" s="224"/>
    </row>
    <row r="13" spans="1:3" ht="21" customHeight="1" x14ac:dyDescent="0.2">
      <c r="A13" s="15"/>
      <c r="B13" s="14"/>
      <c r="C13" s="224"/>
    </row>
    <row r="14" spans="1:3" ht="21" customHeight="1" x14ac:dyDescent="0.2">
      <c r="A14" s="15"/>
      <c r="B14" s="14"/>
      <c r="C14" s="224"/>
    </row>
    <row r="15" spans="1:3" ht="21" customHeight="1" x14ac:dyDescent="0.2">
      <c r="A15" s="15"/>
      <c r="B15" s="109"/>
      <c r="C15" s="224"/>
    </row>
    <row r="16" spans="1:3" ht="21" customHeight="1" x14ac:dyDescent="0.2">
      <c r="A16" s="15"/>
      <c r="B16" s="109"/>
      <c r="C16" s="224"/>
    </row>
    <row r="17" spans="1:3" ht="21" customHeight="1" x14ac:dyDescent="0.2">
      <c r="A17" s="15"/>
      <c r="B17" s="109"/>
      <c r="C17" s="224"/>
    </row>
    <row r="18" spans="1:3" ht="21" customHeight="1" x14ac:dyDescent="0.2">
      <c r="A18" s="15"/>
      <c r="B18" s="109"/>
      <c r="C18" s="224"/>
    </row>
    <row r="19" spans="1:3" ht="21" customHeight="1" x14ac:dyDescent="0.2">
      <c r="A19" s="15"/>
      <c r="B19" s="14"/>
      <c r="C19" s="224"/>
    </row>
    <row r="20" spans="1:3" ht="21" customHeight="1" x14ac:dyDescent="0.2">
      <c r="A20" s="15"/>
      <c r="B20" s="14"/>
      <c r="C20" s="224"/>
    </row>
    <row r="21" spans="1:3" ht="21" customHeight="1" x14ac:dyDescent="0.2">
      <c r="A21" s="15"/>
      <c r="B21" s="14"/>
      <c r="C21" s="224"/>
    </row>
    <row r="22" spans="1:3" ht="21" customHeight="1" x14ac:dyDescent="0.2">
      <c r="A22" s="15"/>
      <c r="B22" s="14"/>
      <c r="C22" s="224"/>
    </row>
    <row r="23" spans="1:3" ht="21" customHeight="1" x14ac:dyDescent="0.2">
      <c r="A23" s="15"/>
      <c r="B23" s="14"/>
      <c r="C23" s="224"/>
    </row>
    <row r="24" spans="1:3" ht="21" customHeight="1" x14ac:dyDescent="0.2">
      <c r="A24" s="175"/>
      <c r="B24" s="14"/>
      <c r="C24" s="223"/>
    </row>
    <row r="25" spans="1:3" ht="21" customHeight="1" x14ac:dyDescent="0.2">
      <c r="A25" s="15"/>
      <c r="B25" s="15"/>
      <c r="C25" s="225"/>
    </row>
    <row r="26" spans="1:3" ht="21" customHeight="1" x14ac:dyDescent="0.2">
      <c r="A26" s="15"/>
      <c r="B26" s="14"/>
      <c r="C26" s="224"/>
    </row>
    <row r="27" spans="1:3" ht="21" customHeight="1" x14ac:dyDescent="0.2">
      <c r="A27" s="15"/>
      <c r="B27" s="14"/>
      <c r="C27" s="224"/>
    </row>
    <row r="28" spans="1:3" s="62" customFormat="1" ht="21" customHeight="1" x14ac:dyDescent="0.2">
      <c r="A28" s="60"/>
      <c r="B28" s="61"/>
      <c r="C28" s="224"/>
    </row>
    <row r="29" spans="1:3" ht="21" customHeight="1" x14ac:dyDescent="0.2">
      <c r="A29" s="15"/>
      <c r="B29" s="14"/>
      <c r="C29" s="216"/>
    </row>
    <row r="30" spans="1:3" ht="21" customHeight="1" x14ac:dyDescent="0.2">
      <c r="A30" s="7"/>
      <c r="B30" s="8"/>
      <c r="C30" s="224"/>
    </row>
    <row r="31" spans="1:3" ht="21" customHeight="1" x14ac:dyDescent="0.2">
      <c r="A31" s="7"/>
      <c r="B31" s="8"/>
      <c r="C31" s="224"/>
    </row>
    <row r="32" spans="1:3" ht="21" customHeight="1" x14ac:dyDescent="0.2">
      <c r="A32" s="7"/>
      <c r="B32" s="8"/>
      <c r="C32" s="224"/>
    </row>
    <row r="33" spans="1:3" ht="21" customHeight="1" x14ac:dyDescent="0.2">
      <c r="A33" s="7"/>
      <c r="B33" s="8"/>
      <c r="C33" s="224"/>
    </row>
    <row r="34" spans="1:3" ht="21" customHeight="1" x14ac:dyDescent="0.2">
      <c r="A34" s="7"/>
      <c r="B34" s="8"/>
      <c r="C34" s="224"/>
    </row>
    <row r="35" spans="1:3" ht="21" customHeight="1" x14ac:dyDescent="0.2">
      <c r="A35" s="7"/>
      <c r="B35" s="8"/>
      <c r="C35" s="224"/>
    </row>
    <row r="36" spans="1:3" ht="21" customHeight="1" x14ac:dyDescent="0.2">
      <c r="A36" s="7"/>
      <c r="B36" s="8"/>
      <c r="C36" s="204"/>
    </row>
    <row r="37" spans="1:3" ht="21" customHeight="1" x14ac:dyDescent="0.2">
      <c r="A37" s="7"/>
      <c r="B37" s="8"/>
      <c r="C37" s="204"/>
    </row>
    <row r="38" spans="1:3" ht="21" customHeight="1" x14ac:dyDescent="0.2">
      <c r="A38" s="7"/>
      <c r="B38" s="8"/>
      <c r="C38" s="204"/>
    </row>
    <row r="39" spans="1:3" ht="21" customHeight="1" x14ac:dyDescent="0.2">
      <c r="A39" s="7"/>
      <c r="B39" s="8"/>
      <c r="C39" s="204"/>
    </row>
    <row r="40" spans="1:3" ht="21" customHeight="1" x14ac:dyDescent="0.2">
      <c r="A40" s="7"/>
      <c r="B40" s="8"/>
      <c r="C40" s="204"/>
    </row>
    <row r="41" spans="1:3" ht="21" customHeight="1" x14ac:dyDescent="0.2">
      <c r="A41" s="7"/>
      <c r="B41" s="8"/>
      <c r="C41" s="204"/>
    </row>
    <row r="42" spans="1:3" ht="21" customHeight="1" x14ac:dyDescent="0.2">
      <c r="A42" s="7"/>
      <c r="B42" s="8"/>
      <c r="C42" s="204"/>
    </row>
    <row r="43" spans="1:3" ht="21" customHeight="1" x14ac:dyDescent="0.2">
      <c r="A43" s="7"/>
      <c r="B43" s="8"/>
      <c r="C43" s="204"/>
    </row>
    <row r="44" spans="1:3" ht="21" customHeight="1" x14ac:dyDescent="0.2">
      <c r="A44" s="7"/>
      <c r="B44" s="8"/>
      <c r="C44" s="204"/>
    </row>
    <row r="45" spans="1:3" ht="21" customHeight="1" x14ac:dyDescent="0.2">
      <c r="A45" s="7"/>
      <c r="B45" s="8"/>
      <c r="C45" s="204"/>
    </row>
    <row r="46" spans="1:3" ht="21" customHeight="1" x14ac:dyDescent="0.2">
      <c r="A46" s="7"/>
      <c r="B46" s="8"/>
      <c r="C46" s="204"/>
    </row>
    <row r="47" spans="1:3" ht="21" customHeight="1" x14ac:dyDescent="0.2">
      <c r="A47" s="7"/>
      <c r="B47" s="8"/>
      <c r="C47" s="204"/>
    </row>
    <row r="48" spans="1:3" ht="21" customHeight="1" x14ac:dyDescent="0.2">
      <c r="A48" s="7"/>
      <c r="B48" s="8"/>
      <c r="C48" s="204"/>
    </row>
    <row r="49" spans="1:8" ht="21" customHeight="1" x14ac:dyDescent="0.2">
      <c r="A49" s="7"/>
      <c r="B49" s="8"/>
      <c r="C49" s="204"/>
    </row>
    <row r="50" spans="1:8" ht="21" customHeight="1" x14ac:dyDescent="0.2">
      <c r="A50" s="7"/>
      <c r="B50" s="8"/>
      <c r="C50" s="224"/>
    </row>
    <row r="51" spans="1:8" ht="21" customHeight="1" x14ac:dyDescent="0.2">
      <c r="A51" s="176"/>
      <c r="B51" s="14"/>
      <c r="C51" s="223"/>
    </row>
    <row r="52" spans="1:8" ht="21" customHeight="1" x14ac:dyDescent="0.2">
      <c r="A52" s="15"/>
      <c r="B52" s="15"/>
      <c r="C52" s="225"/>
    </row>
    <row r="53" spans="1:8" ht="21" customHeight="1" x14ac:dyDescent="0.2">
      <c r="A53" s="15"/>
      <c r="B53" s="14"/>
      <c r="C53" s="224"/>
    </row>
    <row r="54" spans="1:8" ht="21" customHeight="1" x14ac:dyDescent="0.2">
      <c r="A54" s="15"/>
      <c r="B54" s="14"/>
      <c r="C54" s="224"/>
      <c r="D54" s="156"/>
      <c r="F54" s="84"/>
    </row>
    <row r="55" spans="1:8" ht="21" customHeight="1" x14ac:dyDescent="0.2">
      <c r="A55" s="15"/>
      <c r="B55" s="14"/>
      <c r="C55" s="224"/>
    </row>
    <row r="56" spans="1:8" ht="21" customHeight="1" x14ac:dyDescent="0.2">
      <c r="A56" s="15"/>
      <c r="B56" s="14"/>
      <c r="C56" s="224"/>
    </row>
    <row r="57" spans="1:8" ht="21" customHeight="1" x14ac:dyDescent="0.2">
      <c r="A57" s="15"/>
      <c r="B57" s="14"/>
      <c r="C57" s="224"/>
    </row>
    <row r="58" spans="1:8" ht="21" customHeight="1" x14ac:dyDescent="0.2">
      <c r="A58" s="15"/>
      <c r="B58" s="14"/>
      <c r="C58" s="224"/>
      <c r="F58" s="28"/>
      <c r="G58" s="157"/>
      <c r="H58" s="156"/>
    </row>
    <row r="59" spans="1:8" ht="21" customHeight="1" x14ac:dyDescent="0.2">
      <c r="A59" s="15"/>
      <c r="B59" s="14"/>
      <c r="C59" s="224"/>
    </row>
    <row r="60" spans="1:8" ht="21" customHeight="1" x14ac:dyDescent="0.2">
      <c r="A60" s="15"/>
      <c r="B60" s="14"/>
      <c r="C60" s="224"/>
    </row>
    <row r="61" spans="1:8" ht="21" customHeight="1" x14ac:dyDescent="0.2">
      <c r="A61" s="15"/>
      <c r="B61" s="14"/>
      <c r="C61" s="224"/>
    </row>
    <row r="62" spans="1:8" ht="21" customHeight="1" x14ac:dyDescent="0.2">
      <c r="A62" s="15"/>
      <c r="B62" s="14"/>
      <c r="C62" s="224"/>
    </row>
    <row r="63" spans="1:8" ht="21" customHeight="1" x14ac:dyDescent="0.2">
      <c r="A63" s="15"/>
      <c r="B63" s="14"/>
      <c r="C63" s="224"/>
    </row>
    <row r="64" spans="1:8" ht="21" customHeight="1" x14ac:dyDescent="0.2">
      <c r="A64" s="15"/>
      <c r="B64" s="14"/>
      <c r="C64" s="224"/>
    </row>
    <row r="65" spans="1:3" ht="21" customHeight="1" x14ac:dyDescent="0.2">
      <c r="A65" s="15"/>
      <c r="B65" s="14"/>
      <c r="C65" s="224"/>
    </row>
    <row r="66" spans="1:3" ht="21" customHeight="1" x14ac:dyDescent="0.2">
      <c r="A66" s="15"/>
      <c r="B66" s="14"/>
      <c r="C66" s="224"/>
    </row>
    <row r="67" spans="1:3" ht="21" customHeight="1" x14ac:dyDescent="0.2">
      <c r="A67" s="15"/>
      <c r="B67" s="14"/>
      <c r="C67" s="224"/>
    </row>
    <row r="68" spans="1:3" ht="21" customHeight="1" x14ac:dyDescent="0.2">
      <c r="A68" s="15"/>
      <c r="B68" s="14"/>
      <c r="C68" s="224"/>
    </row>
    <row r="69" spans="1:3" ht="21" customHeight="1" x14ac:dyDescent="0.2">
      <c r="A69" s="15"/>
      <c r="B69" s="14"/>
      <c r="C69" s="224"/>
    </row>
    <row r="70" spans="1:3" ht="21" customHeight="1" x14ac:dyDescent="0.2">
      <c r="A70" s="15"/>
      <c r="B70" s="14"/>
      <c r="C70" s="224"/>
    </row>
    <row r="71" spans="1:3" ht="21" customHeight="1" x14ac:dyDescent="0.2">
      <c r="A71" s="15"/>
      <c r="B71" s="14"/>
      <c r="C71" s="224"/>
    </row>
    <row r="72" spans="1:3" ht="21" customHeight="1" x14ac:dyDescent="0.2">
      <c r="A72" s="15"/>
      <c r="B72" s="14"/>
      <c r="C72" s="224"/>
    </row>
    <row r="73" spans="1:3" ht="21" customHeight="1" x14ac:dyDescent="0.2">
      <c r="A73" s="15"/>
      <c r="B73" s="14"/>
      <c r="C73" s="224"/>
    </row>
    <row r="74" spans="1:3" ht="21" customHeight="1" x14ac:dyDescent="0.2">
      <c r="A74" s="15"/>
      <c r="B74" s="14"/>
      <c r="C74" s="224"/>
    </row>
    <row r="75" spans="1:3" ht="21" customHeight="1" x14ac:dyDescent="0.2">
      <c r="A75" s="15"/>
      <c r="B75" s="14"/>
      <c r="C75" s="224"/>
    </row>
    <row r="76" spans="1:3" ht="21" customHeight="1" x14ac:dyDescent="0.2">
      <c r="A76" s="15"/>
      <c r="B76" s="14"/>
      <c r="C76" s="224"/>
    </row>
    <row r="77" spans="1:3" ht="21" customHeight="1" x14ac:dyDescent="0.2">
      <c r="A77" s="15"/>
      <c r="B77" s="14"/>
      <c r="C77" s="224"/>
    </row>
    <row r="78" spans="1:3" ht="21" customHeight="1" x14ac:dyDescent="0.2">
      <c r="A78" s="15"/>
      <c r="B78" s="14"/>
      <c r="C78" s="224"/>
    </row>
    <row r="79" spans="1:3" ht="21" customHeight="1" x14ac:dyDescent="0.2">
      <c r="A79" s="15"/>
      <c r="B79" s="14"/>
      <c r="C79" s="224"/>
    </row>
    <row r="80" spans="1:3" ht="21" customHeight="1" x14ac:dyDescent="0.2">
      <c r="A80" s="15"/>
      <c r="B80" s="14"/>
      <c r="C80" s="224"/>
    </row>
    <row r="81" spans="1:3" ht="21" customHeight="1" x14ac:dyDescent="0.2">
      <c r="A81" s="15"/>
      <c r="B81" s="14"/>
      <c r="C81" s="216"/>
    </row>
    <row r="82" spans="1:3" ht="21" customHeight="1" x14ac:dyDescent="0.2">
      <c r="A82" s="8"/>
      <c r="B82" s="8"/>
      <c r="C82" s="224"/>
    </row>
    <row r="83" spans="1:3" ht="21" customHeight="1" x14ac:dyDescent="0.2">
      <c r="A83" s="176"/>
      <c r="B83" s="14"/>
      <c r="C83" s="223"/>
    </row>
    <row r="84" spans="1:3" ht="21" customHeight="1" x14ac:dyDescent="0.2">
      <c r="A84" s="15"/>
      <c r="B84" s="15"/>
      <c r="C84" s="225"/>
    </row>
    <row r="85" spans="1:3" ht="21" customHeight="1" x14ac:dyDescent="0.2">
      <c r="A85" s="15"/>
      <c r="B85" s="14"/>
      <c r="C85" s="224"/>
    </row>
    <row r="86" spans="1:3" ht="21" customHeight="1" x14ac:dyDescent="0.2">
      <c r="A86" s="15"/>
      <c r="B86" s="14"/>
      <c r="C86" s="224"/>
    </row>
    <row r="87" spans="1:3" ht="21" customHeight="1" x14ac:dyDescent="0.2">
      <c r="A87" s="15"/>
      <c r="B87" s="14"/>
      <c r="C87" s="224"/>
    </row>
    <row r="88" spans="1:3" ht="21" customHeight="1" x14ac:dyDescent="0.2">
      <c r="A88" s="15"/>
      <c r="B88" s="14"/>
      <c r="C88" s="224"/>
    </row>
    <row r="89" spans="1:3" ht="21" customHeight="1" x14ac:dyDescent="0.2">
      <c r="A89" s="15"/>
      <c r="B89" s="14"/>
      <c r="C89" s="216"/>
    </row>
    <row r="90" spans="1:3" ht="21" customHeight="1" x14ac:dyDescent="0.2">
      <c r="A90" s="39"/>
      <c r="B90" s="32"/>
      <c r="C90" s="226"/>
    </row>
    <row r="91" spans="1:3" ht="21" customHeight="1" x14ac:dyDescent="0.2">
      <c r="C91" s="226"/>
    </row>
    <row r="93" spans="1:3" ht="21" customHeight="1" x14ac:dyDescent="0.2">
      <c r="C93" s="226"/>
    </row>
    <row r="94" spans="1:3" ht="21" customHeight="1" x14ac:dyDescent="0.2">
      <c r="C94" s="226"/>
    </row>
    <row r="95" spans="1:3" ht="21" customHeight="1" x14ac:dyDescent="0.2">
      <c r="C95" s="226"/>
    </row>
    <row r="96" spans="1:3" ht="21" customHeight="1" x14ac:dyDescent="0.2">
      <c r="C96" s="226"/>
    </row>
    <row r="97" spans="1:3" ht="21" customHeight="1" x14ac:dyDescent="0.2">
      <c r="C97" s="226"/>
    </row>
    <row r="98" spans="1:3" ht="21" customHeight="1" x14ac:dyDescent="0.2">
      <c r="C98" s="226"/>
    </row>
    <row r="99" spans="1:3" ht="21" customHeight="1" x14ac:dyDescent="0.2">
      <c r="C99" s="226"/>
    </row>
    <row r="100" spans="1:3" ht="21" customHeight="1" x14ac:dyDescent="0.2">
      <c r="C100" s="226"/>
    </row>
    <row r="101" spans="1:3" ht="21" customHeight="1" x14ac:dyDescent="0.2">
      <c r="A101" s="99" t="s">
        <v>130</v>
      </c>
      <c r="B101" s="20"/>
      <c r="C101" s="222"/>
    </row>
    <row r="102" spans="1:3" ht="21" customHeight="1" x14ac:dyDescent="0.2">
      <c r="A102" s="15" t="s">
        <v>34</v>
      </c>
      <c r="B102" s="15" t="s">
        <v>12</v>
      </c>
      <c r="C102" s="225" t="s">
        <v>35</v>
      </c>
    </row>
    <row r="103" spans="1:3" ht="21" customHeight="1" x14ac:dyDescent="0.2">
      <c r="A103" s="15"/>
      <c r="B103" s="14"/>
      <c r="C103" s="224"/>
    </row>
    <row r="104" spans="1:3" ht="21" customHeight="1" x14ac:dyDescent="0.2">
      <c r="A104" s="15"/>
      <c r="B104" s="14"/>
      <c r="C104" s="224"/>
    </row>
    <row r="105" spans="1:3" ht="21" customHeight="1" x14ac:dyDescent="0.2">
      <c r="A105" s="15"/>
      <c r="B105" s="14"/>
      <c r="C105" s="224"/>
    </row>
    <row r="106" spans="1:3" ht="21" customHeight="1" x14ac:dyDescent="0.2">
      <c r="A106" s="15"/>
      <c r="B106" s="14"/>
      <c r="C106" s="224"/>
    </row>
    <row r="107" spans="1:3" ht="21" customHeight="1" x14ac:dyDescent="0.2">
      <c r="A107" s="15"/>
      <c r="B107" s="14"/>
      <c r="C107" s="224"/>
    </row>
    <row r="108" spans="1:3" ht="21" customHeight="1" x14ac:dyDescent="0.2">
      <c r="A108" s="15"/>
      <c r="B108" s="14"/>
      <c r="C108" s="224"/>
    </row>
    <row r="109" spans="1:3" ht="21" customHeight="1" x14ac:dyDescent="0.2">
      <c r="A109" s="15"/>
      <c r="B109" s="14"/>
      <c r="C109" s="224"/>
    </row>
    <row r="110" spans="1:3" ht="21" customHeight="1" x14ac:dyDescent="0.2">
      <c r="A110" s="15"/>
      <c r="B110" s="14"/>
      <c r="C110" s="224"/>
    </row>
    <row r="111" spans="1:3" ht="21" customHeight="1" x14ac:dyDescent="0.2">
      <c r="A111" s="15"/>
      <c r="B111" s="14"/>
      <c r="C111" s="224"/>
    </row>
    <row r="112" spans="1:3" ht="21" customHeight="1" x14ac:dyDescent="0.2">
      <c r="A112" s="15"/>
      <c r="B112" s="14"/>
      <c r="C112" s="224"/>
    </row>
    <row r="113" spans="1:3" ht="21" customHeight="1" x14ac:dyDescent="0.2">
      <c r="A113" s="15"/>
      <c r="B113" s="14"/>
      <c r="C113" s="224"/>
    </row>
    <row r="114" spans="1:3" ht="21" customHeight="1" x14ac:dyDescent="0.2">
      <c r="A114" s="15"/>
      <c r="B114" s="14"/>
      <c r="C114" s="224"/>
    </row>
    <row r="115" spans="1:3" ht="21" customHeight="1" x14ac:dyDescent="0.2">
      <c r="A115" s="15"/>
      <c r="B115" s="14"/>
      <c r="C115" s="224"/>
    </row>
    <row r="116" spans="1:3" ht="21" customHeight="1" x14ac:dyDescent="0.2">
      <c r="A116" s="15"/>
      <c r="B116" s="14"/>
      <c r="C116" s="224"/>
    </row>
    <row r="117" spans="1:3" ht="21" customHeight="1" x14ac:dyDescent="0.2">
      <c r="A117" s="15"/>
      <c r="B117" s="14"/>
      <c r="C117" s="224"/>
    </row>
    <row r="118" spans="1:3" ht="21" customHeight="1" x14ac:dyDescent="0.2">
      <c r="A118" s="15"/>
      <c r="B118" s="14"/>
      <c r="C118" s="224"/>
    </row>
    <row r="119" spans="1:3" ht="21" customHeight="1" x14ac:dyDescent="0.2">
      <c r="A119" s="15"/>
      <c r="B119" s="14"/>
      <c r="C119" s="224"/>
    </row>
    <row r="120" spans="1:3" ht="21" customHeight="1" x14ac:dyDescent="0.2">
      <c r="A120" s="15"/>
      <c r="B120" s="14"/>
      <c r="C120" s="224"/>
    </row>
    <row r="121" spans="1:3" ht="21" customHeight="1" x14ac:dyDescent="0.2">
      <c r="A121" s="15"/>
      <c r="B121" s="14"/>
      <c r="C121" s="224"/>
    </row>
    <row r="122" spans="1:3" ht="21" customHeight="1" x14ac:dyDescent="0.2">
      <c r="A122" s="15"/>
      <c r="B122" s="14"/>
      <c r="C122" s="224"/>
    </row>
    <row r="123" spans="1:3" ht="21" customHeight="1" x14ac:dyDescent="0.2">
      <c r="A123" s="15"/>
      <c r="B123" s="14"/>
      <c r="C123" s="224"/>
    </row>
    <row r="124" spans="1:3" ht="21" customHeight="1" x14ac:dyDescent="0.2">
      <c r="A124" s="15"/>
      <c r="B124" s="14"/>
      <c r="C124" s="224"/>
    </row>
    <row r="125" spans="1:3" ht="21" customHeight="1" x14ac:dyDescent="0.2">
      <c r="A125" s="15"/>
      <c r="B125" s="14"/>
      <c r="C125" s="224"/>
    </row>
    <row r="126" spans="1:3" ht="21" customHeight="1" x14ac:dyDescent="0.2">
      <c r="A126" s="15"/>
      <c r="B126" s="14"/>
      <c r="C126" s="224"/>
    </row>
    <row r="127" spans="1:3" ht="21" customHeight="1" x14ac:dyDescent="0.2">
      <c r="A127" s="15"/>
      <c r="B127" s="14"/>
      <c r="C127" s="224"/>
    </row>
    <row r="128" spans="1:3" ht="21" customHeight="1" x14ac:dyDescent="0.2">
      <c r="A128" s="15"/>
      <c r="B128" s="14"/>
      <c r="C128" s="224"/>
    </row>
    <row r="129" spans="1:3" ht="21" customHeight="1" x14ac:dyDescent="0.2">
      <c r="A129" s="15"/>
      <c r="B129" s="14"/>
      <c r="C129" s="224"/>
    </row>
    <row r="130" spans="1:3" ht="21" customHeight="1" x14ac:dyDescent="0.2">
      <c r="A130" s="15"/>
      <c r="B130" s="14"/>
      <c r="C130" s="224"/>
    </row>
    <row r="131" spans="1:3" ht="21" customHeight="1" x14ac:dyDescent="0.2">
      <c r="A131" s="15"/>
      <c r="B131" s="14"/>
      <c r="C131" s="224"/>
    </row>
    <row r="132" spans="1:3" ht="21" customHeight="1" x14ac:dyDescent="0.2">
      <c r="A132" s="15"/>
      <c r="B132" s="14"/>
      <c r="C132" s="224"/>
    </row>
    <row r="133" spans="1:3" ht="21" customHeight="1" x14ac:dyDescent="0.2">
      <c r="A133" s="15"/>
      <c r="B133" s="14"/>
      <c r="C133" s="224"/>
    </row>
    <row r="134" spans="1:3" ht="21" customHeight="1" x14ac:dyDescent="0.2">
      <c r="A134" s="15"/>
      <c r="B134" s="14"/>
      <c r="C134" s="216"/>
    </row>
    <row r="135" spans="1:3" ht="21" customHeight="1" x14ac:dyDescent="0.2">
      <c r="C135" s="226"/>
    </row>
    <row r="136" spans="1:3" ht="21" customHeight="1" x14ac:dyDescent="0.2">
      <c r="C136" s="226"/>
    </row>
    <row r="137" spans="1:3" ht="21" customHeight="1" x14ac:dyDescent="0.2">
      <c r="C137" s="226"/>
    </row>
    <row r="138" spans="1:3" ht="21" customHeight="1" x14ac:dyDescent="0.2">
      <c r="C138" s="226"/>
    </row>
    <row r="139" spans="1:3" ht="21" customHeight="1" x14ac:dyDescent="0.2">
      <c r="C139" s="226"/>
    </row>
    <row r="140" spans="1:3" ht="21" customHeight="1" x14ac:dyDescent="0.2">
      <c r="C140" s="226"/>
    </row>
    <row r="141" spans="1:3" ht="21" customHeight="1" x14ac:dyDescent="0.2">
      <c r="C141" s="226"/>
    </row>
    <row r="142" spans="1:3" ht="21" customHeight="1" x14ac:dyDescent="0.2">
      <c r="C142" s="226"/>
    </row>
    <row r="143" spans="1:3" ht="21" customHeight="1" x14ac:dyDescent="0.2">
      <c r="C143" s="226"/>
    </row>
    <row r="144" spans="1:3" ht="21" customHeight="1" x14ac:dyDescent="0.2">
      <c r="C144" s="226"/>
    </row>
    <row r="145" spans="1:3" ht="21" customHeight="1" x14ac:dyDescent="0.2">
      <c r="C145" s="226"/>
    </row>
    <row r="146" spans="1:3" ht="21" customHeight="1" x14ac:dyDescent="0.2">
      <c r="C146" s="226"/>
    </row>
    <row r="147" spans="1:3" ht="21" customHeight="1" x14ac:dyDescent="0.2">
      <c r="C147" s="226"/>
    </row>
    <row r="148" spans="1:3" ht="21" customHeight="1" x14ac:dyDescent="0.2">
      <c r="C148" s="226"/>
    </row>
    <row r="149" spans="1:3" ht="21" customHeight="1" x14ac:dyDescent="0.2">
      <c r="C149" s="226"/>
    </row>
    <row r="150" spans="1:3" ht="21" customHeight="1" x14ac:dyDescent="0.2">
      <c r="C150" s="226"/>
    </row>
    <row r="151" spans="1:3" ht="21" customHeight="1" x14ac:dyDescent="0.2">
      <c r="C151" s="226"/>
    </row>
    <row r="152" spans="1:3" ht="21" customHeight="1" x14ac:dyDescent="0.2">
      <c r="A152" s="58"/>
      <c r="B152" s="58"/>
      <c r="C152" s="227"/>
    </row>
    <row r="153" spans="1:3" ht="21" customHeight="1" x14ac:dyDescent="0.2">
      <c r="A153" s="58"/>
      <c r="B153" s="58"/>
      <c r="C153" s="227"/>
    </row>
    <row r="154" spans="1:3" ht="21" customHeight="1" x14ac:dyDescent="0.2">
      <c r="A154" s="58"/>
      <c r="B154" s="58"/>
      <c r="C154" s="227"/>
    </row>
    <row r="155" spans="1:3" ht="21" customHeight="1" x14ac:dyDescent="0.2">
      <c r="A155" s="58"/>
      <c r="B155" s="58"/>
      <c r="C155" s="227"/>
    </row>
    <row r="156" spans="1:3" ht="21" customHeight="1" x14ac:dyDescent="0.2">
      <c r="A156" s="58"/>
      <c r="B156" s="58"/>
      <c r="C156" s="227"/>
    </row>
    <row r="157" spans="1:3" ht="21" customHeight="1" x14ac:dyDescent="0.2">
      <c r="A157" s="58"/>
      <c r="B157" s="58"/>
      <c r="C157" s="227"/>
    </row>
    <row r="158" spans="1:3" ht="21" customHeight="1" x14ac:dyDescent="0.2">
      <c r="A158" s="58"/>
      <c r="B158" s="58"/>
      <c r="C158" s="227"/>
    </row>
    <row r="159" spans="1:3" ht="21" customHeight="1" x14ac:dyDescent="0.2">
      <c r="A159" s="58"/>
      <c r="B159" s="58"/>
      <c r="C159" s="227"/>
    </row>
    <row r="160" spans="1:3" ht="21" customHeight="1" x14ac:dyDescent="0.2">
      <c r="A160" s="58"/>
      <c r="B160" s="58"/>
      <c r="C160" s="227"/>
    </row>
    <row r="161" spans="1:3" ht="21" customHeight="1" x14ac:dyDescent="0.2">
      <c r="A161" s="58"/>
      <c r="B161" s="58"/>
      <c r="C161" s="227"/>
    </row>
    <row r="162" spans="1:3" ht="21" customHeight="1" x14ac:dyDescent="0.2">
      <c r="A162" s="58"/>
      <c r="B162" s="58"/>
      <c r="C162" s="227"/>
    </row>
    <row r="163" spans="1:3" ht="21" customHeight="1" x14ac:dyDescent="0.2">
      <c r="A163" s="58"/>
      <c r="B163" s="58"/>
      <c r="C163" s="227"/>
    </row>
    <row r="164" spans="1:3" ht="21" customHeight="1" x14ac:dyDescent="0.2">
      <c r="A164" s="58"/>
      <c r="B164" s="58"/>
      <c r="C164" s="227"/>
    </row>
    <row r="165" spans="1:3" ht="21" customHeight="1" x14ac:dyDescent="0.2">
      <c r="A165" s="58"/>
      <c r="B165" s="58"/>
      <c r="C165" s="227"/>
    </row>
    <row r="166" spans="1:3" ht="21" customHeight="1" x14ac:dyDescent="0.2">
      <c r="A166" s="58"/>
      <c r="B166" s="58"/>
      <c r="C166" s="227"/>
    </row>
    <row r="167" spans="1:3" ht="21" customHeight="1" x14ac:dyDescent="0.2">
      <c r="A167" s="58"/>
      <c r="B167" s="58"/>
      <c r="C167" s="227"/>
    </row>
    <row r="168" spans="1:3" ht="21" customHeight="1" x14ac:dyDescent="0.2">
      <c r="A168" s="58"/>
      <c r="B168" s="58"/>
      <c r="C168" s="227"/>
    </row>
    <row r="169" spans="1:3" ht="21" customHeight="1" x14ac:dyDescent="0.2">
      <c r="A169" s="58"/>
      <c r="B169" s="58"/>
      <c r="C169" s="227"/>
    </row>
    <row r="170" spans="1:3" ht="21" customHeight="1" x14ac:dyDescent="0.2">
      <c r="A170" s="58"/>
      <c r="B170" s="58"/>
      <c r="C170" s="227"/>
    </row>
    <row r="171" spans="1:3" ht="21" customHeight="1" x14ac:dyDescent="0.2">
      <c r="A171" s="58"/>
      <c r="B171" s="58"/>
      <c r="C171" s="227"/>
    </row>
    <row r="172" spans="1:3" ht="21" customHeight="1" x14ac:dyDescent="0.2">
      <c r="A172" s="58"/>
      <c r="B172" s="58"/>
      <c r="C172" s="227"/>
    </row>
    <row r="173" spans="1:3" ht="21" customHeight="1" x14ac:dyDescent="0.2">
      <c r="A173" s="58"/>
      <c r="B173" s="58"/>
      <c r="C173" s="227"/>
    </row>
    <row r="174" spans="1:3" ht="21" customHeight="1" x14ac:dyDescent="0.2">
      <c r="A174" s="58"/>
      <c r="B174" s="58"/>
      <c r="C174" s="227"/>
    </row>
    <row r="175" spans="1:3" ht="21" customHeight="1" x14ac:dyDescent="0.2">
      <c r="A175" s="58"/>
      <c r="B175" s="58"/>
      <c r="C175" s="227"/>
    </row>
    <row r="176" spans="1:3" ht="21" customHeight="1" x14ac:dyDescent="0.2">
      <c r="A176" s="58"/>
      <c r="B176" s="58"/>
      <c r="C176" s="227"/>
    </row>
    <row r="177" spans="1:3" ht="21" customHeight="1" x14ac:dyDescent="0.2">
      <c r="A177" s="58"/>
      <c r="B177" s="58"/>
      <c r="C177" s="227"/>
    </row>
    <row r="178" spans="1:3" ht="21" customHeight="1" x14ac:dyDescent="0.2">
      <c r="A178" s="58"/>
      <c r="B178" s="58"/>
      <c r="C178" s="227"/>
    </row>
    <row r="179" spans="1:3" ht="21" customHeight="1" x14ac:dyDescent="0.2">
      <c r="A179" s="58"/>
      <c r="B179" s="58"/>
      <c r="C179" s="227"/>
    </row>
    <row r="180" spans="1:3" ht="21" customHeight="1" x14ac:dyDescent="0.2">
      <c r="A180" s="58"/>
      <c r="B180" s="58"/>
      <c r="C180" s="227"/>
    </row>
    <row r="181" spans="1:3" ht="21" customHeight="1" x14ac:dyDescent="0.2">
      <c r="A181" s="58"/>
      <c r="B181" s="58"/>
      <c r="C181" s="227"/>
    </row>
    <row r="182" spans="1:3" ht="21" customHeight="1" x14ac:dyDescent="0.2">
      <c r="A182" s="58"/>
      <c r="B182" s="58"/>
      <c r="C182" s="227"/>
    </row>
    <row r="183" spans="1:3" ht="21" customHeight="1" x14ac:dyDescent="0.2">
      <c r="A183" s="58"/>
      <c r="B183" s="58"/>
      <c r="C183" s="227"/>
    </row>
    <row r="184" spans="1:3" ht="21" customHeight="1" x14ac:dyDescent="0.2">
      <c r="A184" s="58"/>
      <c r="B184" s="58"/>
      <c r="C184" s="227"/>
    </row>
    <row r="185" spans="1:3" ht="21" customHeight="1" x14ac:dyDescent="0.2">
      <c r="A185" s="58"/>
      <c r="B185" s="58"/>
      <c r="C185" s="227"/>
    </row>
    <row r="186" spans="1:3" ht="21" customHeight="1" x14ac:dyDescent="0.2">
      <c r="A186" s="58"/>
      <c r="B186" s="58"/>
      <c r="C186" s="227"/>
    </row>
    <row r="187" spans="1:3" ht="21" customHeight="1" x14ac:dyDescent="0.2">
      <c r="A187" s="58"/>
      <c r="B187" s="58"/>
      <c r="C187" s="227"/>
    </row>
    <row r="188" spans="1:3" ht="21" customHeight="1" x14ac:dyDescent="0.2">
      <c r="A188" s="58"/>
      <c r="B188" s="58"/>
      <c r="C188" s="227"/>
    </row>
    <row r="189" spans="1:3" ht="21" customHeight="1" x14ac:dyDescent="0.2">
      <c r="A189" s="58"/>
      <c r="B189" s="58"/>
      <c r="C189" s="227"/>
    </row>
    <row r="190" spans="1:3" ht="21" customHeight="1" x14ac:dyDescent="0.2">
      <c r="A190" s="58"/>
      <c r="B190" s="58"/>
      <c r="C190" s="227"/>
    </row>
    <row r="191" spans="1:3" ht="21" customHeight="1" x14ac:dyDescent="0.2">
      <c r="A191" s="58"/>
      <c r="B191" s="58"/>
      <c r="C191" s="227"/>
    </row>
    <row r="192" spans="1:3" ht="21" customHeight="1" x14ac:dyDescent="0.2">
      <c r="A192" s="58"/>
      <c r="B192" s="58"/>
      <c r="C192" s="227"/>
    </row>
    <row r="193" spans="1:3" ht="21" customHeight="1" x14ac:dyDescent="0.2">
      <c r="A193" s="58"/>
      <c r="B193" s="58"/>
      <c r="C193" s="227"/>
    </row>
    <row r="194" spans="1:3" ht="21" customHeight="1" x14ac:dyDescent="0.2">
      <c r="A194" s="58"/>
      <c r="B194" s="58"/>
      <c r="C194" s="227"/>
    </row>
    <row r="195" spans="1:3" ht="21" customHeight="1" x14ac:dyDescent="0.2">
      <c r="A195" s="58"/>
      <c r="B195" s="58"/>
      <c r="C195" s="227"/>
    </row>
    <row r="196" spans="1:3" ht="21" customHeight="1" x14ac:dyDescent="0.2">
      <c r="A196" s="58"/>
      <c r="B196" s="58"/>
      <c r="C196" s="227"/>
    </row>
    <row r="197" spans="1:3" ht="21" customHeight="1" x14ac:dyDescent="0.2">
      <c r="A197" s="58"/>
      <c r="B197" s="58"/>
      <c r="C197" s="227"/>
    </row>
    <row r="198" spans="1:3" ht="21" customHeight="1" x14ac:dyDescent="0.2">
      <c r="A198" s="58"/>
      <c r="B198" s="58"/>
      <c r="C198" s="227"/>
    </row>
    <row r="199" spans="1:3" ht="21" customHeight="1" x14ac:dyDescent="0.2">
      <c r="A199" s="58"/>
      <c r="B199" s="58"/>
      <c r="C199" s="227"/>
    </row>
    <row r="200" spans="1:3" ht="21" customHeight="1" x14ac:dyDescent="0.2">
      <c r="A200" s="58"/>
      <c r="B200" s="58"/>
      <c r="C200" s="227"/>
    </row>
    <row r="201" spans="1:3" ht="21" customHeight="1" x14ac:dyDescent="0.2">
      <c r="A201" s="58"/>
      <c r="B201" s="58"/>
      <c r="C201" s="227"/>
    </row>
    <row r="202" spans="1:3" ht="21" customHeight="1" x14ac:dyDescent="0.2">
      <c r="A202" s="58"/>
      <c r="B202" s="58"/>
      <c r="C202" s="227"/>
    </row>
    <row r="203" spans="1:3" ht="21" customHeight="1" x14ac:dyDescent="0.2">
      <c r="A203" s="58"/>
      <c r="B203" s="58"/>
      <c r="C203" s="227"/>
    </row>
    <row r="204" spans="1:3" ht="21" customHeight="1" x14ac:dyDescent="0.2">
      <c r="A204" s="58"/>
      <c r="B204" s="58"/>
      <c r="C204" s="227"/>
    </row>
    <row r="205" spans="1:3" ht="21" customHeight="1" x14ac:dyDescent="0.2">
      <c r="A205" s="58"/>
      <c r="B205" s="58"/>
      <c r="C205" s="227"/>
    </row>
    <row r="206" spans="1:3" ht="21" customHeight="1" x14ac:dyDescent="0.2">
      <c r="A206" s="58"/>
      <c r="B206" s="58"/>
      <c r="C206" s="227"/>
    </row>
    <row r="207" spans="1:3" ht="21" customHeight="1" x14ac:dyDescent="0.2">
      <c r="A207" s="58"/>
      <c r="B207" s="58"/>
      <c r="C207" s="227"/>
    </row>
    <row r="208" spans="1:3" ht="21" customHeight="1" x14ac:dyDescent="0.2">
      <c r="A208" s="58"/>
      <c r="B208" s="58"/>
      <c r="C208" s="227"/>
    </row>
    <row r="209" spans="1:3" ht="21" customHeight="1" x14ac:dyDescent="0.2">
      <c r="A209" s="58"/>
      <c r="B209" s="58"/>
      <c r="C209" s="227"/>
    </row>
    <row r="210" spans="1:3" ht="21" customHeight="1" x14ac:dyDescent="0.2">
      <c r="A210" s="58"/>
      <c r="B210" s="58"/>
      <c r="C210" s="227"/>
    </row>
    <row r="211" spans="1:3" ht="21" customHeight="1" x14ac:dyDescent="0.2">
      <c r="A211" s="58"/>
      <c r="B211" s="58"/>
      <c r="C211" s="227"/>
    </row>
    <row r="212" spans="1:3" ht="21" customHeight="1" x14ac:dyDescent="0.2">
      <c r="A212" s="58"/>
      <c r="B212" s="58"/>
      <c r="C212" s="227"/>
    </row>
    <row r="213" spans="1:3" ht="21" customHeight="1" x14ac:dyDescent="0.2">
      <c r="A213" s="58"/>
      <c r="B213" s="58"/>
      <c r="C213" s="227"/>
    </row>
    <row r="214" spans="1:3" ht="21" customHeight="1" x14ac:dyDescent="0.2">
      <c r="A214" s="58"/>
      <c r="B214" s="58"/>
      <c r="C214" s="227"/>
    </row>
    <row r="215" spans="1:3" ht="21" customHeight="1" x14ac:dyDescent="0.2">
      <c r="A215" s="58"/>
      <c r="B215" s="58"/>
      <c r="C215" s="227"/>
    </row>
    <row r="216" spans="1:3" ht="21" customHeight="1" x14ac:dyDescent="0.2">
      <c r="A216" s="58"/>
      <c r="B216" s="58"/>
      <c r="C216" s="227"/>
    </row>
    <row r="217" spans="1:3" ht="21" customHeight="1" x14ac:dyDescent="0.2">
      <c r="A217" s="58"/>
      <c r="B217" s="58"/>
      <c r="C217" s="227"/>
    </row>
    <row r="218" spans="1:3" ht="21" customHeight="1" x14ac:dyDescent="0.2">
      <c r="A218" s="58"/>
      <c r="B218" s="58"/>
      <c r="C218" s="227"/>
    </row>
    <row r="219" spans="1:3" ht="21" customHeight="1" x14ac:dyDescent="0.2">
      <c r="A219" s="58"/>
      <c r="B219" s="58"/>
      <c r="C219" s="227"/>
    </row>
    <row r="220" spans="1:3" ht="21" customHeight="1" x14ac:dyDescent="0.2">
      <c r="A220" s="58"/>
      <c r="B220" s="58"/>
      <c r="C220" s="227"/>
    </row>
    <row r="221" spans="1:3" ht="21" customHeight="1" x14ac:dyDescent="0.2">
      <c r="A221" s="58"/>
      <c r="B221" s="58"/>
      <c r="C221" s="227"/>
    </row>
    <row r="222" spans="1:3" ht="21" customHeight="1" x14ac:dyDescent="0.2">
      <c r="A222" s="58"/>
      <c r="B222" s="58"/>
      <c r="C222" s="227"/>
    </row>
    <row r="223" spans="1:3" ht="21" customHeight="1" x14ac:dyDescent="0.2">
      <c r="A223" s="58"/>
      <c r="B223" s="58"/>
      <c r="C223" s="227"/>
    </row>
    <row r="224" spans="1:3" ht="21" customHeight="1" x14ac:dyDescent="0.2">
      <c r="A224" s="58"/>
      <c r="B224" s="58"/>
      <c r="C224" s="227"/>
    </row>
    <row r="225" spans="1:3" ht="21" customHeight="1" x14ac:dyDescent="0.2">
      <c r="A225" s="58"/>
      <c r="B225" s="58"/>
      <c r="C225" s="227"/>
    </row>
    <row r="226" spans="1:3" ht="21" customHeight="1" x14ac:dyDescent="0.2">
      <c r="A226" s="58"/>
      <c r="B226" s="58"/>
      <c r="C226" s="227"/>
    </row>
    <row r="227" spans="1:3" ht="21" customHeight="1" x14ac:dyDescent="0.2">
      <c r="A227" s="58"/>
      <c r="B227" s="58"/>
      <c r="C227" s="227"/>
    </row>
    <row r="228" spans="1:3" ht="21" customHeight="1" x14ac:dyDescent="0.2">
      <c r="A228" s="58"/>
      <c r="B228" s="58"/>
      <c r="C228" s="227"/>
    </row>
    <row r="229" spans="1:3" ht="21" customHeight="1" x14ac:dyDescent="0.2">
      <c r="A229" s="58"/>
      <c r="B229" s="58"/>
      <c r="C229" s="227"/>
    </row>
    <row r="230" spans="1:3" ht="21" customHeight="1" x14ac:dyDescent="0.2">
      <c r="A230" s="58"/>
      <c r="B230" s="58"/>
      <c r="C230" s="227"/>
    </row>
    <row r="231" spans="1:3" ht="21" customHeight="1" x14ac:dyDescent="0.2">
      <c r="A231" s="58"/>
      <c r="B231" s="58"/>
      <c r="C231" s="227"/>
    </row>
    <row r="232" spans="1:3" ht="21" customHeight="1" x14ac:dyDescent="0.2">
      <c r="A232" s="58"/>
      <c r="B232" s="58"/>
      <c r="C232" s="227"/>
    </row>
    <row r="233" spans="1:3" ht="21" customHeight="1" x14ac:dyDescent="0.2">
      <c r="A233" s="58"/>
      <c r="B233" s="58"/>
      <c r="C233" s="227"/>
    </row>
    <row r="234" spans="1:3" ht="21" customHeight="1" x14ac:dyDescent="0.2">
      <c r="A234" s="58"/>
      <c r="B234" s="58"/>
      <c r="C234" s="227"/>
    </row>
    <row r="235" spans="1:3" ht="21" customHeight="1" x14ac:dyDescent="0.2">
      <c r="A235" s="58"/>
      <c r="B235" s="58"/>
      <c r="C235" s="227"/>
    </row>
    <row r="236" spans="1:3" ht="21" customHeight="1" x14ac:dyDescent="0.2">
      <c r="A236" s="58"/>
      <c r="B236" s="58"/>
      <c r="C236" s="227"/>
    </row>
    <row r="237" spans="1:3" ht="21" customHeight="1" x14ac:dyDescent="0.2">
      <c r="A237" s="58"/>
      <c r="B237" s="58"/>
      <c r="C237" s="227"/>
    </row>
    <row r="238" spans="1:3" ht="21" customHeight="1" x14ac:dyDescent="0.2">
      <c r="A238" s="58"/>
      <c r="B238" s="58"/>
      <c r="C238" s="227"/>
    </row>
    <row r="239" spans="1:3" ht="21" customHeight="1" x14ac:dyDescent="0.2">
      <c r="A239" s="58"/>
      <c r="B239" s="58"/>
      <c r="C239" s="227"/>
    </row>
    <row r="240" spans="1:3" ht="21" customHeight="1" x14ac:dyDescent="0.2">
      <c r="A240" s="58"/>
      <c r="B240" s="58"/>
      <c r="C240" s="227"/>
    </row>
    <row r="241" spans="1:3" ht="21" customHeight="1" x14ac:dyDescent="0.2">
      <c r="A241" s="58"/>
      <c r="B241" s="58"/>
      <c r="C241" s="227"/>
    </row>
    <row r="242" spans="1:3" ht="21" customHeight="1" x14ac:dyDescent="0.2">
      <c r="C242" s="226"/>
    </row>
    <row r="243" spans="1:3" ht="21" customHeight="1" x14ac:dyDescent="0.2">
      <c r="C243" s="226"/>
    </row>
    <row r="244" spans="1:3" ht="21" customHeight="1" x14ac:dyDescent="0.2">
      <c r="C244" s="226"/>
    </row>
    <row r="245" spans="1:3" ht="21" customHeight="1" x14ac:dyDescent="0.2">
      <c r="C245" s="226"/>
    </row>
    <row r="246" spans="1:3" ht="21" customHeight="1" x14ac:dyDescent="0.2">
      <c r="C246" s="226"/>
    </row>
    <row r="247" spans="1:3" ht="21" customHeight="1" x14ac:dyDescent="0.2">
      <c r="C247" s="226"/>
    </row>
    <row r="248" spans="1:3" ht="21" customHeight="1" x14ac:dyDescent="0.2">
      <c r="C248" s="226"/>
    </row>
    <row r="249" spans="1:3" ht="21" customHeight="1" x14ac:dyDescent="0.2">
      <c r="C249" s="226"/>
    </row>
    <row r="250" spans="1:3" ht="21" customHeight="1" x14ac:dyDescent="0.2">
      <c r="C250" s="226"/>
    </row>
    <row r="251" spans="1:3" ht="21" customHeight="1" x14ac:dyDescent="0.2">
      <c r="C251" s="226"/>
    </row>
    <row r="252" spans="1:3" ht="21" customHeight="1" x14ac:dyDescent="0.2">
      <c r="C252" s="226"/>
    </row>
    <row r="253" spans="1:3" ht="21" customHeight="1" x14ac:dyDescent="0.2">
      <c r="C253" s="226"/>
    </row>
    <row r="254" spans="1:3" ht="21" customHeight="1" x14ac:dyDescent="0.2">
      <c r="C254" s="226"/>
    </row>
    <row r="255" spans="1:3" ht="21" customHeight="1" x14ac:dyDescent="0.2">
      <c r="C255" s="226"/>
    </row>
    <row r="256" spans="1:3" ht="21" customHeight="1" x14ac:dyDescent="0.2">
      <c r="C256" s="226"/>
    </row>
    <row r="257" spans="3:3" ht="21" customHeight="1" x14ac:dyDescent="0.2">
      <c r="C257" s="226"/>
    </row>
    <row r="258" spans="3:3" ht="21" customHeight="1" x14ac:dyDescent="0.2">
      <c r="C258" s="226"/>
    </row>
    <row r="259" spans="3:3" ht="21" customHeight="1" x14ac:dyDescent="0.2">
      <c r="C259" s="226"/>
    </row>
    <row r="260" spans="3:3" ht="21" customHeight="1" x14ac:dyDescent="0.2">
      <c r="C260" s="226"/>
    </row>
    <row r="261" spans="3:3" ht="21" customHeight="1" x14ac:dyDescent="0.2">
      <c r="C261" s="226"/>
    </row>
    <row r="262" spans="3:3" ht="21" customHeight="1" x14ac:dyDescent="0.2">
      <c r="C262" s="226"/>
    </row>
    <row r="263" spans="3:3" ht="21" customHeight="1" x14ac:dyDescent="0.2">
      <c r="C263" s="226"/>
    </row>
    <row r="264" spans="3:3" ht="21" customHeight="1" x14ac:dyDescent="0.2">
      <c r="C264" s="226"/>
    </row>
    <row r="265" spans="3:3" ht="21" customHeight="1" x14ac:dyDescent="0.2">
      <c r="C265" s="226"/>
    </row>
    <row r="266" spans="3:3" ht="21" customHeight="1" x14ac:dyDescent="0.2">
      <c r="C266" s="226"/>
    </row>
    <row r="267" spans="3:3" ht="21" customHeight="1" x14ac:dyDescent="0.2">
      <c r="C267" s="226"/>
    </row>
    <row r="268" spans="3:3" ht="21" customHeight="1" x14ac:dyDescent="0.2">
      <c r="C268" s="226"/>
    </row>
    <row r="269" spans="3:3" ht="21" customHeight="1" x14ac:dyDescent="0.2">
      <c r="C269" s="226"/>
    </row>
    <row r="270" spans="3:3" ht="21" customHeight="1" x14ac:dyDescent="0.2">
      <c r="C270" s="226"/>
    </row>
    <row r="271" spans="3:3" ht="21" customHeight="1" x14ac:dyDescent="0.2">
      <c r="C271" s="226"/>
    </row>
    <row r="272" spans="3:3" ht="21" customHeight="1" x14ac:dyDescent="0.2">
      <c r="C272" s="226"/>
    </row>
    <row r="273" spans="3:3" ht="21" customHeight="1" x14ac:dyDescent="0.2">
      <c r="C273" s="226"/>
    </row>
    <row r="274" spans="3:3" ht="21" customHeight="1" x14ac:dyDescent="0.2">
      <c r="C274" s="226"/>
    </row>
    <row r="275" spans="3:3" ht="21" customHeight="1" x14ac:dyDescent="0.2">
      <c r="C275" s="226"/>
    </row>
    <row r="276" spans="3:3" ht="21" customHeight="1" x14ac:dyDescent="0.2">
      <c r="C276" s="226"/>
    </row>
    <row r="277" spans="3:3" ht="21" customHeight="1" x14ac:dyDescent="0.2">
      <c r="C277" s="226"/>
    </row>
    <row r="278" spans="3:3" ht="21" customHeight="1" x14ac:dyDescent="0.2">
      <c r="C278" s="226"/>
    </row>
    <row r="279" spans="3:3" ht="21" customHeight="1" x14ac:dyDescent="0.2">
      <c r="C279" s="226"/>
    </row>
    <row r="280" spans="3:3" ht="21" customHeight="1" x14ac:dyDescent="0.2">
      <c r="C280" s="226"/>
    </row>
    <row r="281" spans="3:3" ht="21" customHeight="1" x14ac:dyDescent="0.2">
      <c r="C281" s="226"/>
    </row>
    <row r="282" spans="3:3" ht="21" customHeight="1" x14ac:dyDescent="0.2">
      <c r="C282" s="226"/>
    </row>
    <row r="283" spans="3:3" ht="21" customHeight="1" x14ac:dyDescent="0.2">
      <c r="C283" s="226"/>
    </row>
    <row r="284" spans="3:3" ht="21" customHeight="1" x14ac:dyDescent="0.2">
      <c r="C284" s="226"/>
    </row>
    <row r="285" spans="3:3" ht="21" customHeight="1" x14ac:dyDescent="0.2">
      <c r="C285" s="226"/>
    </row>
    <row r="286" spans="3:3" ht="21" customHeight="1" x14ac:dyDescent="0.2">
      <c r="C286" s="226"/>
    </row>
    <row r="287" spans="3:3" ht="21" customHeight="1" x14ac:dyDescent="0.2">
      <c r="C287" s="226"/>
    </row>
    <row r="288" spans="3:3" ht="21" customHeight="1" x14ac:dyDescent="0.2">
      <c r="C288" s="226"/>
    </row>
    <row r="289" spans="3:3" ht="21" customHeight="1" x14ac:dyDescent="0.2">
      <c r="C289" s="226"/>
    </row>
    <row r="290" spans="3:3" ht="21" customHeight="1" x14ac:dyDescent="0.2">
      <c r="C290" s="226"/>
    </row>
    <row r="291" spans="3:3" ht="21" customHeight="1" x14ac:dyDescent="0.2">
      <c r="C291" s="226"/>
    </row>
    <row r="292" spans="3:3" ht="21" customHeight="1" x14ac:dyDescent="0.2">
      <c r="C292" s="226"/>
    </row>
    <row r="293" spans="3:3" ht="21" customHeight="1" x14ac:dyDescent="0.2">
      <c r="C293" s="226"/>
    </row>
    <row r="294" spans="3:3" ht="21" customHeight="1" x14ac:dyDescent="0.2">
      <c r="C294" s="226"/>
    </row>
    <row r="295" spans="3:3" ht="21" customHeight="1" x14ac:dyDescent="0.2">
      <c r="C295" s="226"/>
    </row>
    <row r="296" spans="3:3" ht="21" customHeight="1" x14ac:dyDescent="0.2">
      <c r="C296" s="226"/>
    </row>
    <row r="297" spans="3:3" ht="21" customHeight="1" x14ac:dyDescent="0.2">
      <c r="C297" s="226"/>
    </row>
    <row r="298" spans="3:3" ht="21" customHeight="1" x14ac:dyDescent="0.2">
      <c r="C298" s="226"/>
    </row>
    <row r="299" spans="3:3" ht="21" customHeight="1" x14ac:dyDescent="0.2">
      <c r="C299" s="226"/>
    </row>
    <row r="300" spans="3:3" ht="21" customHeight="1" x14ac:dyDescent="0.2">
      <c r="C300" s="226"/>
    </row>
    <row r="301" spans="3:3" ht="21" customHeight="1" x14ac:dyDescent="0.2">
      <c r="C301" s="226"/>
    </row>
    <row r="302" spans="3:3" ht="21" customHeight="1" x14ac:dyDescent="0.2">
      <c r="C302" s="226"/>
    </row>
    <row r="303" spans="3:3" ht="21" customHeight="1" x14ac:dyDescent="0.2">
      <c r="C303" s="226"/>
    </row>
    <row r="304" spans="3:3" ht="21" customHeight="1" x14ac:dyDescent="0.2">
      <c r="C304" s="226"/>
    </row>
    <row r="305" spans="3:3" ht="21" customHeight="1" x14ac:dyDescent="0.2">
      <c r="C305" s="226"/>
    </row>
    <row r="306" spans="3:3" ht="21" customHeight="1" x14ac:dyDescent="0.2">
      <c r="C306" s="226"/>
    </row>
    <row r="307" spans="3:3" ht="21" customHeight="1" x14ac:dyDescent="0.2">
      <c r="C307" s="226"/>
    </row>
    <row r="308" spans="3:3" ht="21" customHeight="1" x14ac:dyDescent="0.2">
      <c r="C308" s="226"/>
    </row>
    <row r="309" spans="3:3" ht="21" customHeight="1" x14ac:dyDescent="0.2">
      <c r="C309" s="226"/>
    </row>
    <row r="310" spans="3:3" ht="21" customHeight="1" x14ac:dyDescent="0.2">
      <c r="C310" s="226"/>
    </row>
    <row r="311" spans="3:3" ht="21" customHeight="1" x14ac:dyDescent="0.2">
      <c r="C311" s="226"/>
    </row>
    <row r="312" spans="3:3" ht="21" customHeight="1" x14ac:dyDescent="0.2">
      <c r="C312" s="226"/>
    </row>
    <row r="313" spans="3:3" ht="21" customHeight="1" x14ac:dyDescent="0.2">
      <c r="C313" s="226"/>
    </row>
    <row r="314" spans="3:3" ht="21" customHeight="1" x14ac:dyDescent="0.2">
      <c r="C314" s="226"/>
    </row>
    <row r="315" spans="3:3" ht="21" customHeight="1" x14ac:dyDescent="0.2">
      <c r="C315" s="226"/>
    </row>
    <row r="316" spans="3:3" ht="21" customHeight="1" x14ac:dyDescent="0.2">
      <c r="C316" s="226"/>
    </row>
    <row r="317" spans="3:3" ht="21" customHeight="1" x14ac:dyDescent="0.2">
      <c r="C317" s="226"/>
    </row>
    <row r="318" spans="3:3" ht="21" customHeight="1" x14ac:dyDescent="0.2">
      <c r="C318" s="226"/>
    </row>
    <row r="319" spans="3:3" ht="21" customHeight="1" x14ac:dyDescent="0.2">
      <c r="C319" s="226"/>
    </row>
    <row r="320" spans="3:3" ht="21" customHeight="1" x14ac:dyDescent="0.2">
      <c r="C320" s="226"/>
    </row>
    <row r="321" spans="3:3" ht="21" customHeight="1" x14ac:dyDescent="0.2">
      <c r="C321" s="226"/>
    </row>
    <row r="322" spans="3:3" ht="21" customHeight="1" x14ac:dyDescent="0.2">
      <c r="C322" s="226"/>
    </row>
    <row r="323" spans="3:3" ht="21" customHeight="1" x14ac:dyDescent="0.2">
      <c r="C323" s="226"/>
    </row>
    <row r="324" spans="3:3" ht="21" customHeight="1" x14ac:dyDescent="0.2">
      <c r="C324" s="226"/>
    </row>
    <row r="325" spans="3:3" ht="21" customHeight="1" x14ac:dyDescent="0.2">
      <c r="C325" s="226"/>
    </row>
    <row r="326" spans="3:3" ht="21" customHeight="1" x14ac:dyDescent="0.2">
      <c r="C326" s="226"/>
    </row>
    <row r="327" spans="3:3" ht="21" customHeight="1" x14ac:dyDescent="0.2">
      <c r="C327" s="226"/>
    </row>
    <row r="328" spans="3:3" ht="21" customHeight="1" x14ac:dyDescent="0.2">
      <c r="C328" s="226"/>
    </row>
    <row r="329" spans="3:3" ht="21" customHeight="1" x14ac:dyDescent="0.2">
      <c r="C329" s="226"/>
    </row>
    <row r="330" spans="3:3" ht="21" customHeight="1" x14ac:dyDescent="0.2">
      <c r="C330" s="226"/>
    </row>
    <row r="331" spans="3:3" ht="21" customHeight="1" x14ac:dyDescent="0.2">
      <c r="C331" s="226"/>
    </row>
    <row r="332" spans="3:3" ht="21" customHeight="1" x14ac:dyDescent="0.2">
      <c r="C332" s="226"/>
    </row>
    <row r="333" spans="3:3" ht="21" customHeight="1" x14ac:dyDescent="0.2">
      <c r="C333" s="226"/>
    </row>
    <row r="334" spans="3:3" ht="21" customHeight="1" x14ac:dyDescent="0.2">
      <c r="C334" s="226"/>
    </row>
    <row r="335" spans="3:3" ht="21" customHeight="1" x14ac:dyDescent="0.2">
      <c r="C335" s="226"/>
    </row>
    <row r="336" spans="3:3" ht="21" customHeight="1" x14ac:dyDescent="0.2">
      <c r="C336" s="226"/>
    </row>
    <row r="337" spans="3:3" ht="21" customHeight="1" x14ac:dyDescent="0.2">
      <c r="C337" s="226"/>
    </row>
    <row r="338" spans="3:3" ht="21" customHeight="1" x14ac:dyDescent="0.2">
      <c r="C338" s="226"/>
    </row>
    <row r="339" spans="3:3" ht="21" customHeight="1" x14ac:dyDescent="0.2">
      <c r="C339" s="226"/>
    </row>
    <row r="340" spans="3:3" ht="21" customHeight="1" x14ac:dyDescent="0.2">
      <c r="C340" s="226"/>
    </row>
    <row r="341" spans="3:3" ht="21" customHeight="1" x14ac:dyDescent="0.2">
      <c r="C341" s="226"/>
    </row>
    <row r="342" spans="3:3" ht="21" customHeight="1" x14ac:dyDescent="0.2">
      <c r="C342" s="226"/>
    </row>
    <row r="343" spans="3:3" ht="21" customHeight="1" x14ac:dyDescent="0.2">
      <c r="C343" s="226"/>
    </row>
    <row r="344" spans="3:3" ht="21" customHeight="1" x14ac:dyDescent="0.2">
      <c r="C344" s="226"/>
    </row>
    <row r="345" spans="3:3" ht="21" customHeight="1" x14ac:dyDescent="0.2">
      <c r="C345" s="226"/>
    </row>
    <row r="346" spans="3:3" ht="21" customHeight="1" x14ac:dyDescent="0.2">
      <c r="C346" s="226"/>
    </row>
    <row r="347" spans="3:3" ht="21" customHeight="1" x14ac:dyDescent="0.2">
      <c r="C347" s="226"/>
    </row>
    <row r="348" spans="3:3" ht="21" customHeight="1" x14ac:dyDescent="0.2">
      <c r="C348" s="226"/>
    </row>
    <row r="349" spans="3:3" ht="21" customHeight="1" x14ac:dyDescent="0.2">
      <c r="C349" s="226"/>
    </row>
    <row r="350" spans="3:3" ht="21" customHeight="1" x14ac:dyDescent="0.2">
      <c r="C350" s="226"/>
    </row>
    <row r="351" spans="3:3" ht="21" customHeight="1" x14ac:dyDescent="0.2">
      <c r="C351" s="226"/>
    </row>
    <row r="352" spans="3:3" ht="21" customHeight="1" x14ac:dyDescent="0.2">
      <c r="C352" s="226"/>
    </row>
    <row r="353" spans="3:3" ht="21" customHeight="1" x14ac:dyDescent="0.2">
      <c r="C353" s="226"/>
    </row>
    <row r="354" spans="3:3" ht="21" customHeight="1" x14ac:dyDescent="0.2">
      <c r="C354" s="226"/>
    </row>
    <row r="355" spans="3:3" ht="21" customHeight="1" x14ac:dyDescent="0.2">
      <c r="C355" s="226"/>
    </row>
    <row r="356" spans="3:3" ht="21" customHeight="1" x14ac:dyDescent="0.2">
      <c r="C356" s="226"/>
    </row>
    <row r="357" spans="3:3" ht="21" customHeight="1" x14ac:dyDescent="0.2">
      <c r="C357" s="226"/>
    </row>
    <row r="358" spans="3:3" ht="21" customHeight="1" x14ac:dyDescent="0.2">
      <c r="C358" s="226"/>
    </row>
    <row r="359" spans="3:3" ht="21" customHeight="1" x14ac:dyDescent="0.2">
      <c r="C359" s="226"/>
    </row>
    <row r="360" spans="3:3" ht="21" customHeight="1" x14ac:dyDescent="0.2">
      <c r="C360" s="226"/>
    </row>
    <row r="361" spans="3:3" ht="21" customHeight="1" x14ac:dyDescent="0.2">
      <c r="C361" s="226"/>
    </row>
    <row r="362" spans="3:3" ht="21" customHeight="1" x14ac:dyDescent="0.2">
      <c r="C362" s="226"/>
    </row>
    <row r="363" spans="3:3" ht="21" customHeight="1" x14ac:dyDescent="0.2">
      <c r="C363" s="226"/>
    </row>
    <row r="364" spans="3:3" ht="21" customHeight="1" x14ac:dyDescent="0.2">
      <c r="C364" s="226"/>
    </row>
    <row r="365" spans="3:3" ht="21" customHeight="1" x14ac:dyDescent="0.2">
      <c r="C365" s="226"/>
    </row>
    <row r="366" spans="3:3" ht="21" customHeight="1" x14ac:dyDescent="0.2">
      <c r="C366" s="226"/>
    </row>
    <row r="367" spans="3:3" ht="21" customHeight="1" x14ac:dyDescent="0.2">
      <c r="C367" s="226"/>
    </row>
    <row r="368" spans="3:3" ht="21" customHeight="1" x14ac:dyDescent="0.2">
      <c r="C368" s="226"/>
    </row>
    <row r="369" spans="3:3" ht="21" customHeight="1" x14ac:dyDescent="0.2">
      <c r="C369" s="226"/>
    </row>
    <row r="370" spans="3:3" ht="21" customHeight="1" x14ac:dyDescent="0.2">
      <c r="C370" s="226"/>
    </row>
    <row r="371" spans="3:3" ht="21" customHeight="1" x14ac:dyDescent="0.2">
      <c r="C371" s="226"/>
    </row>
    <row r="372" spans="3:3" ht="21" customHeight="1" x14ac:dyDescent="0.2">
      <c r="C372" s="226"/>
    </row>
    <row r="373" spans="3:3" ht="21" customHeight="1" x14ac:dyDescent="0.2">
      <c r="C373" s="226"/>
    </row>
    <row r="374" spans="3:3" ht="21" customHeight="1" x14ac:dyDescent="0.2">
      <c r="C374" s="226"/>
    </row>
    <row r="375" spans="3:3" ht="21" customHeight="1" x14ac:dyDescent="0.2">
      <c r="C375" s="226"/>
    </row>
    <row r="376" spans="3:3" ht="21" customHeight="1" x14ac:dyDescent="0.2">
      <c r="C376" s="226"/>
    </row>
    <row r="377" spans="3:3" ht="21" customHeight="1" x14ac:dyDescent="0.2">
      <c r="C377" s="226"/>
    </row>
    <row r="378" spans="3:3" ht="21" customHeight="1" x14ac:dyDescent="0.2">
      <c r="C378" s="226"/>
    </row>
    <row r="379" spans="3:3" ht="21" customHeight="1" x14ac:dyDescent="0.2">
      <c r="C379" s="226"/>
    </row>
    <row r="380" spans="3:3" ht="21" customHeight="1" x14ac:dyDescent="0.2">
      <c r="C380" s="226"/>
    </row>
    <row r="381" spans="3:3" ht="21" customHeight="1" x14ac:dyDescent="0.2">
      <c r="C381" s="226"/>
    </row>
    <row r="382" spans="3:3" ht="21" customHeight="1" x14ac:dyDescent="0.2">
      <c r="C382" s="226"/>
    </row>
    <row r="383" spans="3:3" ht="21" customHeight="1" x14ac:dyDescent="0.2">
      <c r="C383" s="226"/>
    </row>
    <row r="384" spans="3:3" ht="21" customHeight="1" x14ac:dyDescent="0.2">
      <c r="C384" s="226"/>
    </row>
    <row r="385" spans="3:3" ht="21" customHeight="1" x14ac:dyDescent="0.2">
      <c r="C385" s="226"/>
    </row>
    <row r="386" spans="3:3" ht="21" customHeight="1" x14ac:dyDescent="0.2">
      <c r="C386" s="226"/>
    </row>
    <row r="387" spans="3:3" ht="21" customHeight="1" x14ac:dyDescent="0.2">
      <c r="C387" s="226"/>
    </row>
    <row r="388" spans="3:3" ht="21" customHeight="1" x14ac:dyDescent="0.2">
      <c r="C388" s="226"/>
    </row>
    <row r="389" spans="3:3" ht="21" customHeight="1" x14ac:dyDescent="0.2">
      <c r="C389" s="226"/>
    </row>
    <row r="390" spans="3:3" ht="21" customHeight="1" x14ac:dyDescent="0.2">
      <c r="C390" s="226"/>
    </row>
    <row r="391" spans="3:3" ht="21" customHeight="1" x14ac:dyDescent="0.2">
      <c r="C391" s="226"/>
    </row>
    <row r="392" spans="3:3" ht="21" customHeight="1" x14ac:dyDescent="0.2">
      <c r="C392" s="226"/>
    </row>
    <row r="393" spans="3:3" ht="21" customHeight="1" x14ac:dyDescent="0.2">
      <c r="C393" s="226"/>
    </row>
    <row r="394" spans="3:3" ht="21" customHeight="1" x14ac:dyDescent="0.2">
      <c r="C394" s="226"/>
    </row>
    <row r="395" spans="3:3" ht="21" customHeight="1" x14ac:dyDescent="0.2">
      <c r="C395" s="226"/>
    </row>
    <row r="396" spans="3:3" ht="21" customHeight="1" x14ac:dyDescent="0.2">
      <c r="C396" s="226"/>
    </row>
    <row r="397" spans="3:3" ht="21" customHeight="1" x14ac:dyDescent="0.2">
      <c r="C397" s="226"/>
    </row>
    <row r="398" spans="3:3" ht="21" customHeight="1" x14ac:dyDescent="0.2">
      <c r="C398" s="226"/>
    </row>
    <row r="399" spans="3:3" ht="21" customHeight="1" x14ac:dyDescent="0.2">
      <c r="C399" s="226"/>
    </row>
    <row r="400" spans="3:3" ht="21" customHeight="1" x14ac:dyDescent="0.2">
      <c r="C400" s="226"/>
    </row>
    <row r="401" spans="3:3" ht="21" customHeight="1" x14ac:dyDescent="0.2">
      <c r="C401" s="226"/>
    </row>
    <row r="402" spans="3:3" ht="21" customHeight="1" x14ac:dyDescent="0.2">
      <c r="C402" s="226"/>
    </row>
    <row r="403" spans="3:3" ht="21" customHeight="1" x14ac:dyDescent="0.2">
      <c r="C403" s="226"/>
    </row>
    <row r="404" spans="3:3" ht="21" customHeight="1" x14ac:dyDescent="0.2">
      <c r="C404" s="226"/>
    </row>
    <row r="405" spans="3:3" ht="21" customHeight="1" x14ac:dyDescent="0.2">
      <c r="C405" s="226"/>
    </row>
    <row r="406" spans="3:3" ht="21" customHeight="1" x14ac:dyDescent="0.2">
      <c r="C406" s="226"/>
    </row>
    <row r="407" spans="3:3" ht="21" customHeight="1" x14ac:dyDescent="0.2">
      <c r="C407" s="226"/>
    </row>
    <row r="408" spans="3:3" ht="21" customHeight="1" x14ac:dyDescent="0.2">
      <c r="C408" s="226"/>
    </row>
    <row r="409" spans="3:3" ht="21" customHeight="1" x14ac:dyDescent="0.2">
      <c r="C409" s="226"/>
    </row>
    <row r="410" spans="3:3" ht="21" customHeight="1" x14ac:dyDescent="0.2">
      <c r="C410" s="226"/>
    </row>
    <row r="411" spans="3:3" ht="21" customHeight="1" x14ac:dyDescent="0.2">
      <c r="C411" s="226"/>
    </row>
    <row r="412" spans="3:3" ht="21" customHeight="1" x14ac:dyDescent="0.2">
      <c r="C412" s="226"/>
    </row>
    <row r="413" spans="3:3" ht="21" customHeight="1" x14ac:dyDescent="0.2">
      <c r="C413" s="226"/>
    </row>
    <row r="414" spans="3:3" ht="21" customHeight="1" x14ac:dyDescent="0.2">
      <c r="C414" s="226"/>
    </row>
    <row r="415" spans="3:3" ht="21" customHeight="1" x14ac:dyDescent="0.2">
      <c r="C415" s="226"/>
    </row>
    <row r="416" spans="3:3" ht="21" customHeight="1" x14ac:dyDescent="0.2">
      <c r="C416" s="226"/>
    </row>
    <row r="417" spans="3:3" ht="21" customHeight="1" x14ac:dyDescent="0.2">
      <c r="C417" s="226"/>
    </row>
    <row r="418" spans="3:3" ht="21" customHeight="1" x14ac:dyDescent="0.2">
      <c r="C418" s="226"/>
    </row>
    <row r="419" spans="3:3" ht="21" customHeight="1" x14ac:dyDescent="0.2">
      <c r="C419" s="226"/>
    </row>
    <row r="420" spans="3:3" ht="21" customHeight="1" x14ac:dyDescent="0.2">
      <c r="C420" s="226"/>
    </row>
    <row r="421" spans="3:3" ht="21" customHeight="1" x14ac:dyDescent="0.2">
      <c r="C421" s="226"/>
    </row>
    <row r="422" spans="3:3" ht="21" customHeight="1" x14ac:dyDescent="0.2">
      <c r="C422" s="226"/>
    </row>
    <row r="423" spans="3:3" ht="21" customHeight="1" x14ac:dyDescent="0.2">
      <c r="C423" s="226"/>
    </row>
    <row r="424" spans="3:3" ht="21" customHeight="1" x14ac:dyDescent="0.2">
      <c r="C424" s="226"/>
    </row>
    <row r="425" spans="3:3" ht="21" customHeight="1" x14ac:dyDescent="0.2">
      <c r="C425" s="226"/>
    </row>
    <row r="426" spans="3:3" ht="21" customHeight="1" x14ac:dyDescent="0.2">
      <c r="C426" s="226"/>
    </row>
    <row r="427" spans="3:3" ht="21" customHeight="1" x14ac:dyDescent="0.2">
      <c r="C427" s="226"/>
    </row>
    <row r="428" spans="3:3" ht="21" customHeight="1" x14ac:dyDescent="0.2">
      <c r="C428" s="226"/>
    </row>
    <row r="429" spans="3:3" ht="21" customHeight="1" x14ac:dyDescent="0.2">
      <c r="C429" s="226"/>
    </row>
    <row r="430" spans="3:3" ht="21" customHeight="1" x14ac:dyDescent="0.2">
      <c r="C430" s="226"/>
    </row>
    <row r="431" spans="3:3" ht="21" customHeight="1" x14ac:dyDescent="0.2">
      <c r="C431" s="226"/>
    </row>
    <row r="432" spans="3:3" ht="21" customHeight="1" x14ac:dyDescent="0.2">
      <c r="C432" s="226"/>
    </row>
    <row r="433" spans="3:3" ht="21" customHeight="1" x14ac:dyDescent="0.2">
      <c r="C433" s="226"/>
    </row>
    <row r="434" spans="3:3" ht="21" customHeight="1" x14ac:dyDescent="0.2">
      <c r="C434" s="226"/>
    </row>
    <row r="435" spans="3:3" ht="21" customHeight="1" x14ac:dyDescent="0.2">
      <c r="C435" s="226"/>
    </row>
    <row r="436" spans="3:3" ht="21" customHeight="1" x14ac:dyDescent="0.2">
      <c r="C436" s="226"/>
    </row>
    <row r="437" spans="3:3" ht="21" customHeight="1" x14ac:dyDescent="0.2">
      <c r="C437" s="226"/>
    </row>
    <row r="438" spans="3:3" ht="21" customHeight="1" x14ac:dyDescent="0.2">
      <c r="C438" s="226"/>
    </row>
    <row r="439" spans="3:3" ht="21" customHeight="1" x14ac:dyDescent="0.2">
      <c r="C439" s="226"/>
    </row>
    <row r="440" spans="3:3" ht="21" customHeight="1" x14ac:dyDescent="0.2">
      <c r="C440" s="226"/>
    </row>
    <row r="441" spans="3:3" ht="21" customHeight="1" x14ac:dyDescent="0.2">
      <c r="C441" s="226"/>
    </row>
    <row r="442" spans="3:3" ht="21" customHeight="1" x14ac:dyDescent="0.2">
      <c r="C442" s="226"/>
    </row>
    <row r="443" spans="3:3" ht="21" customHeight="1" x14ac:dyDescent="0.2">
      <c r="C443" s="226"/>
    </row>
    <row r="444" spans="3:3" ht="21" customHeight="1" x14ac:dyDescent="0.2">
      <c r="C444" s="226"/>
    </row>
    <row r="445" spans="3:3" ht="21" customHeight="1" x14ac:dyDescent="0.2">
      <c r="C445" s="226"/>
    </row>
    <row r="446" spans="3:3" ht="21" customHeight="1" x14ac:dyDescent="0.2">
      <c r="C446" s="226"/>
    </row>
    <row r="447" spans="3:3" ht="21" customHeight="1" x14ac:dyDescent="0.2">
      <c r="C447" s="226"/>
    </row>
    <row r="448" spans="3:3" ht="21" customHeight="1" x14ac:dyDescent="0.2">
      <c r="C448" s="226"/>
    </row>
    <row r="449" spans="3:3" ht="21" customHeight="1" x14ac:dyDescent="0.2">
      <c r="C449" s="226"/>
    </row>
    <row r="450" spans="3:3" ht="21" customHeight="1" x14ac:dyDescent="0.2">
      <c r="C450" s="226"/>
    </row>
    <row r="451" spans="3:3" ht="21" customHeight="1" x14ac:dyDescent="0.2">
      <c r="C451" s="226"/>
    </row>
    <row r="452" spans="3:3" ht="21" customHeight="1" x14ac:dyDescent="0.2">
      <c r="C452" s="226"/>
    </row>
    <row r="453" spans="3:3" ht="21" customHeight="1" x14ac:dyDescent="0.2">
      <c r="C453" s="226"/>
    </row>
    <row r="454" spans="3:3" ht="21" customHeight="1" x14ac:dyDescent="0.2">
      <c r="C454" s="226"/>
    </row>
    <row r="455" spans="3:3" ht="21" customHeight="1" x14ac:dyDescent="0.2">
      <c r="C455" s="226"/>
    </row>
    <row r="456" spans="3:3" ht="21" customHeight="1" x14ac:dyDescent="0.2">
      <c r="C456" s="226"/>
    </row>
    <row r="457" spans="3:3" ht="21" customHeight="1" x14ac:dyDescent="0.2">
      <c r="C457" s="226"/>
    </row>
    <row r="458" spans="3:3" ht="21" customHeight="1" x14ac:dyDescent="0.2">
      <c r="C458" s="226"/>
    </row>
    <row r="459" spans="3:3" ht="21" customHeight="1" x14ac:dyDescent="0.2">
      <c r="C459" s="226"/>
    </row>
    <row r="460" spans="3:3" ht="21" customHeight="1" x14ac:dyDescent="0.2">
      <c r="C460" s="226"/>
    </row>
    <row r="461" spans="3:3" ht="21" customHeight="1" x14ac:dyDescent="0.2">
      <c r="C461" s="226"/>
    </row>
    <row r="462" spans="3:3" ht="21" customHeight="1" x14ac:dyDescent="0.2">
      <c r="C462" s="226"/>
    </row>
    <row r="463" spans="3:3" ht="21" customHeight="1" x14ac:dyDescent="0.2">
      <c r="C463" s="226"/>
    </row>
    <row r="464" spans="3:3" ht="21" customHeight="1" x14ac:dyDescent="0.2">
      <c r="C464" s="226"/>
    </row>
    <row r="465" spans="3:3" ht="21" customHeight="1" x14ac:dyDescent="0.2">
      <c r="C465" s="226"/>
    </row>
    <row r="466" spans="3:3" ht="21" customHeight="1" x14ac:dyDescent="0.2">
      <c r="C466" s="226"/>
    </row>
    <row r="467" spans="3:3" ht="21" customHeight="1" x14ac:dyDescent="0.2">
      <c r="C467" s="226"/>
    </row>
    <row r="468" spans="3:3" ht="21" customHeight="1" x14ac:dyDescent="0.2">
      <c r="C468" s="226"/>
    </row>
    <row r="469" spans="3:3" ht="21" customHeight="1" x14ac:dyDescent="0.2">
      <c r="C469" s="226"/>
    </row>
    <row r="470" spans="3:3" ht="21" customHeight="1" x14ac:dyDescent="0.2">
      <c r="C470" s="226"/>
    </row>
    <row r="471" spans="3:3" ht="21" customHeight="1" x14ac:dyDescent="0.2">
      <c r="C471" s="226"/>
    </row>
    <row r="472" spans="3:3" ht="21" customHeight="1" x14ac:dyDescent="0.2">
      <c r="C472" s="226"/>
    </row>
    <row r="473" spans="3:3" ht="21" customHeight="1" x14ac:dyDescent="0.2">
      <c r="C473" s="226"/>
    </row>
    <row r="474" spans="3:3" ht="21" customHeight="1" x14ac:dyDescent="0.2">
      <c r="C474" s="226"/>
    </row>
    <row r="475" spans="3:3" ht="21" customHeight="1" x14ac:dyDescent="0.2">
      <c r="C475" s="226"/>
    </row>
    <row r="476" spans="3:3" ht="21" customHeight="1" x14ac:dyDescent="0.2">
      <c r="C476" s="226"/>
    </row>
    <row r="477" spans="3:3" ht="21" customHeight="1" x14ac:dyDescent="0.2">
      <c r="C477" s="226"/>
    </row>
    <row r="478" spans="3:3" ht="21" customHeight="1" x14ac:dyDescent="0.2">
      <c r="C478" s="226"/>
    </row>
    <row r="479" spans="3:3" ht="21" customHeight="1" x14ac:dyDescent="0.2">
      <c r="C479" s="226"/>
    </row>
    <row r="480" spans="3:3" ht="21" customHeight="1" x14ac:dyDescent="0.2">
      <c r="C480" s="226"/>
    </row>
    <row r="481" spans="3:3" ht="21" customHeight="1" x14ac:dyDescent="0.2">
      <c r="C481" s="226"/>
    </row>
    <row r="482" spans="3:3" ht="21" customHeight="1" x14ac:dyDescent="0.2">
      <c r="C482" s="226"/>
    </row>
    <row r="483" spans="3:3" ht="21" customHeight="1" x14ac:dyDescent="0.2">
      <c r="C483" s="226"/>
    </row>
    <row r="484" spans="3:3" ht="21" customHeight="1" x14ac:dyDescent="0.2">
      <c r="C484" s="226"/>
    </row>
    <row r="485" spans="3:3" ht="21" customHeight="1" x14ac:dyDescent="0.2">
      <c r="C485" s="226"/>
    </row>
    <row r="486" spans="3:3" ht="21" customHeight="1" x14ac:dyDescent="0.2">
      <c r="C486" s="226"/>
    </row>
    <row r="487" spans="3:3" ht="21" customHeight="1" x14ac:dyDescent="0.2">
      <c r="C487" s="226"/>
    </row>
    <row r="488" spans="3:3" ht="21" customHeight="1" x14ac:dyDescent="0.2">
      <c r="C488" s="226"/>
    </row>
    <row r="489" spans="3:3" ht="21" customHeight="1" x14ac:dyDescent="0.2">
      <c r="C489" s="226"/>
    </row>
    <row r="490" spans="3:3" ht="21" customHeight="1" x14ac:dyDescent="0.2">
      <c r="C490" s="226"/>
    </row>
    <row r="491" spans="3:3" ht="21" customHeight="1" x14ac:dyDescent="0.2">
      <c r="C491" s="226"/>
    </row>
    <row r="492" spans="3:3" ht="21" customHeight="1" x14ac:dyDescent="0.2">
      <c r="C492" s="226"/>
    </row>
    <row r="493" spans="3:3" ht="21" customHeight="1" x14ac:dyDescent="0.2">
      <c r="C493" s="226"/>
    </row>
    <row r="494" spans="3:3" ht="21" customHeight="1" x14ac:dyDescent="0.2">
      <c r="C494" s="226"/>
    </row>
    <row r="495" spans="3:3" ht="21" customHeight="1" x14ac:dyDescent="0.2">
      <c r="C495" s="226"/>
    </row>
    <row r="496" spans="3:3" ht="21" customHeight="1" x14ac:dyDescent="0.2">
      <c r="C496" s="226"/>
    </row>
    <row r="497" spans="3:3" ht="21" customHeight="1" x14ac:dyDescent="0.2">
      <c r="C497" s="226"/>
    </row>
    <row r="498" spans="3:3" ht="21" customHeight="1" x14ac:dyDescent="0.2">
      <c r="C498" s="226"/>
    </row>
    <row r="499" spans="3:3" ht="21" customHeight="1" x14ac:dyDescent="0.2">
      <c r="C499" s="226"/>
    </row>
    <row r="500" spans="3:3" ht="21" customHeight="1" x14ac:dyDescent="0.2">
      <c r="C500" s="226"/>
    </row>
    <row r="501" spans="3:3" ht="21" customHeight="1" x14ac:dyDescent="0.2">
      <c r="C501" s="226"/>
    </row>
    <row r="502" spans="3:3" ht="21" customHeight="1" x14ac:dyDescent="0.2">
      <c r="C502" s="226"/>
    </row>
    <row r="503" spans="3:3" ht="21" customHeight="1" x14ac:dyDescent="0.2">
      <c r="C503" s="226"/>
    </row>
    <row r="504" spans="3:3" ht="21" customHeight="1" x14ac:dyDescent="0.2">
      <c r="C504" s="226"/>
    </row>
    <row r="505" spans="3:3" ht="21" customHeight="1" x14ac:dyDescent="0.2">
      <c r="C505" s="226"/>
    </row>
    <row r="506" spans="3:3" ht="21" customHeight="1" x14ac:dyDescent="0.2">
      <c r="C506" s="226"/>
    </row>
    <row r="507" spans="3:3" ht="21" customHeight="1" x14ac:dyDescent="0.2">
      <c r="C507" s="226"/>
    </row>
    <row r="508" spans="3:3" ht="21" customHeight="1" x14ac:dyDescent="0.2">
      <c r="C508" s="226"/>
    </row>
    <row r="509" spans="3:3" ht="21" customHeight="1" x14ac:dyDescent="0.2">
      <c r="C509" s="226"/>
    </row>
    <row r="510" spans="3:3" ht="21" customHeight="1" x14ac:dyDescent="0.2">
      <c r="C510" s="226"/>
    </row>
    <row r="511" spans="3:3" ht="21" customHeight="1" x14ac:dyDescent="0.2">
      <c r="C511" s="226"/>
    </row>
    <row r="512" spans="3:3" ht="21" customHeight="1" x14ac:dyDescent="0.2">
      <c r="C512" s="226"/>
    </row>
    <row r="513" spans="3:3" ht="21" customHeight="1" x14ac:dyDescent="0.2">
      <c r="C513" s="226"/>
    </row>
    <row r="514" spans="3:3" ht="21" customHeight="1" x14ac:dyDescent="0.2">
      <c r="C514" s="226"/>
    </row>
    <row r="515" spans="3:3" ht="21" customHeight="1" x14ac:dyDescent="0.2">
      <c r="C515" s="226"/>
    </row>
    <row r="516" spans="3:3" ht="21" customHeight="1" x14ac:dyDescent="0.2">
      <c r="C516" s="226"/>
    </row>
    <row r="517" spans="3:3" ht="21" customHeight="1" x14ac:dyDescent="0.2">
      <c r="C517" s="226"/>
    </row>
    <row r="518" spans="3:3" ht="21" customHeight="1" x14ac:dyDescent="0.2">
      <c r="C518" s="226"/>
    </row>
    <row r="519" spans="3:3" ht="21" customHeight="1" x14ac:dyDescent="0.2">
      <c r="C519" s="226"/>
    </row>
    <row r="520" spans="3:3" ht="21" customHeight="1" x14ac:dyDescent="0.2">
      <c r="C520" s="226"/>
    </row>
    <row r="521" spans="3:3" ht="21" customHeight="1" x14ac:dyDescent="0.2">
      <c r="C521" s="226"/>
    </row>
    <row r="522" spans="3:3" ht="21" customHeight="1" x14ac:dyDescent="0.2">
      <c r="C522" s="226"/>
    </row>
    <row r="523" spans="3:3" ht="21" customHeight="1" x14ac:dyDescent="0.2">
      <c r="C523" s="226"/>
    </row>
    <row r="524" spans="3:3" ht="21" customHeight="1" x14ac:dyDescent="0.2">
      <c r="C524" s="226"/>
    </row>
    <row r="525" spans="3:3" ht="21" customHeight="1" x14ac:dyDescent="0.2">
      <c r="C525" s="226"/>
    </row>
    <row r="526" spans="3:3" ht="21" customHeight="1" x14ac:dyDescent="0.2">
      <c r="C526" s="226"/>
    </row>
    <row r="527" spans="3:3" ht="21" customHeight="1" x14ac:dyDescent="0.2">
      <c r="C527" s="226"/>
    </row>
    <row r="528" spans="3:3" ht="21" customHeight="1" x14ac:dyDescent="0.2">
      <c r="C528" s="226"/>
    </row>
    <row r="529" spans="3:3" ht="21" customHeight="1" x14ac:dyDescent="0.2">
      <c r="C529" s="226"/>
    </row>
    <row r="530" spans="3:3" ht="21" customHeight="1" x14ac:dyDescent="0.2">
      <c r="C530" s="226"/>
    </row>
    <row r="531" spans="3:3" ht="21" customHeight="1" x14ac:dyDescent="0.2">
      <c r="C531" s="226"/>
    </row>
    <row r="532" spans="3:3" ht="21" customHeight="1" x14ac:dyDescent="0.2">
      <c r="C532" s="226"/>
    </row>
    <row r="533" spans="3:3" ht="21" customHeight="1" x14ac:dyDescent="0.2">
      <c r="C533" s="226"/>
    </row>
    <row r="534" spans="3:3" ht="21" customHeight="1" x14ac:dyDescent="0.2">
      <c r="C534" s="226"/>
    </row>
    <row r="535" spans="3:3" ht="21" customHeight="1" x14ac:dyDescent="0.2">
      <c r="C535" s="226"/>
    </row>
    <row r="536" spans="3:3" ht="21" customHeight="1" x14ac:dyDescent="0.2">
      <c r="C536" s="226"/>
    </row>
    <row r="537" spans="3:3" ht="21" customHeight="1" x14ac:dyDescent="0.2">
      <c r="C537" s="226"/>
    </row>
    <row r="538" spans="3:3" ht="21" customHeight="1" x14ac:dyDescent="0.2">
      <c r="C538" s="226"/>
    </row>
    <row r="539" spans="3:3" ht="21" customHeight="1" x14ac:dyDescent="0.2">
      <c r="C539" s="226"/>
    </row>
    <row r="540" spans="3:3" ht="21" customHeight="1" x14ac:dyDescent="0.2">
      <c r="C540" s="226"/>
    </row>
    <row r="541" spans="3:3" ht="21" customHeight="1" x14ac:dyDescent="0.2">
      <c r="C541" s="226"/>
    </row>
    <row r="542" spans="3:3" ht="21" customHeight="1" x14ac:dyDescent="0.2">
      <c r="C542" s="226"/>
    </row>
    <row r="543" spans="3:3" ht="21" customHeight="1" x14ac:dyDescent="0.2">
      <c r="C543" s="226"/>
    </row>
    <row r="544" spans="3:3" ht="21" customHeight="1" x14ac:dyDescent="0.2">
      <c r="C544" s="226"/>
    </row>
    <row r="545" spans="3:3" ht="21" customHeight="1" x14ac:dyDescent="0.2">
      <c r="C545" s="226"/>
    </row>
    <row r="546" spans="3:3" ht="21" customHeight="1" x14ac:dyDescent="0.2">
      <c r="C546" s="226"/>
    </row>
    <row r="547" spans="3:3" ht="21" customHeight="1" x14ac:dyDescent="0.2">
      <c r="C547" s="226"/>
    </row>
    <row r="548" spans="3:3" ht="21" customHeight="1" x14ac:dyDescent="0.2">
      <c r="C548" s="226"/>
    </row>
    <row r="549" spans="3:3" ht="21" customHeight="1" x14ac:dyDescent="0.2">
      <c r="C549" s="226"/>
    </row>
    <row r="550" spans="3:3" ht="21" customHeight="1" x14ac:dyDescent="0.2">
      <c r="C550" s="226"/>
    </row>
    <row r="551" spans="3:3" ht="21" customHeight="1" x14ac:dyDescent="0.2">
      <c r="C551" s="226"/>
    </row>
    <row r="552" spans="3:3" ht="21" customHeight="1" x14ac:dyDescent="0.2">
      <c r="C552" s="226"/>
    </row>
    <row r="553" spans="3:3" ht="21" customHeight="1" x14ac:dyDescent="0.2">
      <c r="C553" s="226"/>
    </row>
    <row r="554" spans="3:3" ht="21" customHeight="1" x14ac:dyDescent="0.2">
      <c r="C554" s="226"/>
    </row>
    <row r="555" spans="3:3" ht="21" customHeight="1" x14ac:dyDescent="0.2">
      <c r="C555" s="226"/>
    </row>
    <row r="556" spans="3:3" ht="21" customHeight="1" x14ac:dyDescent="0.2">
      <c r="C556" s="226"/>
    </row>
    <row r="557" spans="3:3" ht="21" customHeight="1" x14ac:dyDescent="0.2">
      <c r="C557" s="226"/>
    </row>
    <row r="558" spans="3:3" ht="21" customHeight="1" x14ac:dyDescent="0.2">
      <c r="C558" s="226"/>
    </row>
    <row r="559" spans="3:3" ht="21" customHeight="1" x14ac:dyDescent="0.2">
      <c r="C559" s="226"/>
    </row>
    <row r="560" spans="3:3" ht="21" customHeight="1" x14ac:dyDescent="0.2">
      <c r="C560" s="226"/>
    </row>
    <row r="561" spans="3:3" ht="21" customHeight="1" x14ac:dyDescent="0.2">
      <c r="C561" s="226"/>
    </row>
    <row r="562" spans="3:3" ht="21" customHeight="1" x14ac:dyDescent="0.2">
      <c r="C562" s="226"/>
    </row>
    <row r="563" spans="3:3" ht="21" customHeight="1" x14ac:dyDescent="0.2">
      <c r="C563" s="226"/>
    </row>
    <row r="564" spans="3:3" ht="21" customHeight="1" x14ac:dyDescent="0.2">
      <c r="C564" s="226"/>
    </row>
    <row r="565" spans="3:3" ht="21" customHeight="1" x14ac:dyDescent="0.2">
      <c r="C565" s="226"/>
    </row>
    <row r="566" spans="3:3" ht="21" customHeight="1" x14ac:dyDescent="0.2">
      <c r="C566" s="226"/>
    </row>
    <row r="567" spans="3:3" ht="21" customHeight="1" x14ac:dyDescent="0.2">
      <c r="C567" s="226"/>
    </row>
    <row r="568" spans="3:3" ht="21" customHeight="1" x14ac:dyDescent="0.2">
      <c r="C568" s="226"/>
    </row>
    <row r="569" spans="3:3" ht="21" customHeight="1" x14ac:dyDescent="0.2">
      <c r="C569" s="226"/>
    </row>
    <row r="570" spans="3:3" ht="21" customHeight="1" x14ac:dyDescent="0.2">
      <c r="C570" s="226"/>
    </row>
    <row r="571" spans="3:3" ht="21" customHeight="1" x14ac:dyDescent="0.2">
      <c r="C571" s="226"/>
    </row>
    <row r="572" spans="3:3" ht="21" customHeight="1" x14ac:dyDescent="0.2">
      <c r="C572" s="226"/>
    </row>
    <row r="573" spans="3:3" ht="21" customHeight="1" x14ac:dyDescent="0.2">
      <c r="C573" s="226"/>
    </row>
    <row r="574" spans="3:3" ht="21" customHeight="1" x14ac:dyDescent="0.2">
      <c r="C574" s="226"/>
    </row>
    <row r="575" spans="3:3" ht="21" customHeight="1" x14ac:dyDescent="0.2">
      <c r="C575" s="226"/>
    </row>
    <row r="576" spans="3:3" ht="21" customHeight="1" x14ac:dyDescent="0.2">
      <c r="C576" s="226"/>
    </row>
    <row r="577" spans="3:3" ht="21" customHeight="1" x14ac:dyDescent="0.2">
      <c r="C577" s="226"/>
    </row>
    <row r="578" spans="3:3" ht="21" customHeight="1" x14ac:dyDescent="0.2">
      <c r="C578" s="226"/>
    </row>
    <row r="579" spans="3:3" ht="21" customHeight="1" x14ac:dyDescent="0.2">
      <c r="C579" s="226"/>
    </row>
    <row r="580" spans="3:3" ht="21" customHeight="1" x14ac:dyDescent="0.2">
      <c r="C580" s="226"/>
    </row>
    <row r="581" spans="3:3" ht="21" customHeight="1" x14ac:dyDescent="0.2">
      <c r="C581" s="226"/>
    </row>
    <row r="582" spans="3:3" ht="21" customHeight="1" x14ac:dyDescent="0.2">
      <c r="C582" s="226"/>
    </row>
    <row r="583" spans="3:3" ht="21" customHeight="1" x14ac:dyDescent="0.2">
      <c r="C583" s="226"/>
    </row>
    <row r="584" spans="3:3" ht="21" customHeight="1" x14ac:dyDescent="0.2">
      <c r="C584" s="226"/>
    </row>
    <row r="585" spans="3:3" ht="21" customHeight="1" x14ac:dyDescent="0.2">
      <c r="C585" s="226"/>
    </row>
    <row r="586" spans="3:3" ht="21" customHeight="1" x14ac:dyDescent="0.2">
      <c r="C586" s="226"/>
    </row>
    <row r="587" spans="3:3" ht="21" customHeight="1" x14ac:dyDescent="0.2">
      <c r="C587" s="226"/>
    </row>
    <row r="588" spans="3:3" ht="21" customHeight="1" x14ac:dyDescent="0.2">
      <c r="C588" s="226"/>
    </row>
    <row r="589" spans="3:3" ht="21" customHeight="1" x14ac:dyDescent="0.2">
      <c r="C589" s="226"/>
    </row>
    <row r="590" spans="3:3" ht="21" customHeight="1" x14ac:dyDescent="0.2">
      <c r="C590" s="226"/>
    </row>
    <row r="591" spans="3:3" ht="21" customHeight="1" x14ac:dyDescent="0.2">
      <c r="C591" s="226"/>
    </row>
    <row r="592" spans="3:3" ht="21" customHeight="1" x14ac:dyDescent="0.2">
      <c r="C592" s="226"/>
    </row>
    <row r="593" spans="3:3" ht="21" customHeight="1" x14ac:dyDescent="0.2">
      <c r="C593" s="226"/>
    </row>
    <row r="594" spans="3:3" ht="21" customHeight="1" x14ac:dyDescent="0.2">
      <c r="C594" s="226"/>
    </row>
    <row r="595" spans="3:3" ht="21" customHeight="1" x14ac:dyDescent="0.2">
      <c r="C595" s="226"/>
    </row>
    <row r="596" spans="3:3" ht="21" customHeight="1" x14ac:dyDescent="0.2">
      <c r="C596" s="226"/>
    </row>
    <row r="597" spans="3:3" ht="21" customHeight="1" x14ac:dyDescent="0.2">
      <c r="C597" s="226"/>
    </row>
    <row r="598" spans="3:3" ht="21" customHeight="1" x14ac:dyDescent="0.2">
      <c r="C598" s="226"/>
    </row>
    <row r="599" spans="3:3" ht="21" customHeight="1" x14ac:dyDescent="0.2">
      <c r="C599" s="226"/>
    </row>
    <row r="600" spans="3:3" ht="21" customHeight="1" x14ac:dyDescent="0.2">
      <c r="C600" s="226"/>
    </row>
    <row r="601" spans="3:3" ht="21" customHeight="1" x14ac:dyDescent="0.2">
      <c r="C601" s="226"/>
    </row>
    <row r="602" spans="3:3" ht="21" customHeight="1" x14ac:dyDescent="0.2">
      <c r="C602" s="226"/>
    </row>
    <row r="603" spans="3:3" ht="21" customHeight="1" x14ac:dyDescent="0.2">
      <c r="C603" s="226"/>
    </row>
    <row r="604" spans="3:3" ht="21" customHeight="1" x14ac:dyDescent="0.2">
      <c r="C604" s="226"/>
    </row>
    <row r="605" spans="3:3" ht="21" customHeight="1" x14ac:dyDescent="0.2">
      <c r="C605" s="226"/>
    </row>
    <row r="606" spans="3:3" ht="21" customHeight="1" x14ac:dyDescent="0.2">
      <c r="C606" s="226"/>
    </row>
    <row r="607" spans="3:3" ht="21" customHeight="1" x14ac:dyDescent="0.2">
      <c r="C607" s="226"/>
    </row>
    <row r="608" spans="3:3" ht="21" customHeight="1" x14ac:dyDescent="0.2">
      <c r="C608" s="226"/>
    </row>
    <row r="609" spans="3:3" ht="21" customHeight="1" x14ac:dyDescent="0.2">
      <c r="C609" s="226"/>
    </row>
    <row r="610" spans="3:3" ht="21" customHeight="1" x14ac:dyDescent="0.2">
      <c r="C610" s="226"/>
    </row>
    <row r="611" spans="3:3" ht="21" customHeight="1" x14ac:dyDescent="0.2">
      <c r="C611" s="226"/>
    </row>
    <row r="612" spans="3:3" ht="21" customHeight="1" x14ac:dyDescent="0.2">
      <c r="C612" s="226"/>
    </row>
    <row r="613" spans="3:3" ht="21" customHeight="1" x14ac:dyDescent="0.2">
      <c r="C613" s="226"/>
    </row>
    <row r="614" spans="3:3" ht="21" customHeight="1" x14ac:dyDescent="0.2">
      <c r="C614" s="226"/>
    </row>
    <row r="615" spans="3:3" ht="21" customHeight="1" x14ac:dyDescent="0.2">
      <c r="C615" s="226"/>
    </row>
    <row r="616" spans="3:3" ht="21" customHeight="1" x14ac:dyDescent="0.2">
      <c r="C616" s="226"/>
    </row>
    <row r="617" spans="3:3" ht="21" customHeight="1" x14ac:dyDescent="0.2">
      <c r="C617" s="226"/>
    </row>
    <row r="618" spans="3:3" ht="21" customHeight="1" x14ac:dyDescent="0.2">
      <c r="C618" s="226"/>
    </row>
    <row r="619" spans="3:3" ht="21" customHeight="1" x14ac:dyDescent="0.2">
      <c r="C619" s="226"/>
    </row>
    <row r="620" spans="3:3" ht="21" customHeight="1" x14ac:dyDescent="0.2">
      <c r="C620" s="226"/>
    </row>
    <row r="621" spans="3:3" ht="21" customHeight="1" x14ac:dyDescent="0.2">
      <c r="C621" s="226"/>
    </row>
    <row r="622" spans="3:3" ht="21" customHeight="1" x14ac:dyDescent="0.2">
      <c r="C622" s="226"/>
    </row>
    <row r="623" spans="3:3" ht="21" customHeight="1" x14ac:dyDescent="0.2">
      <c r="C623" s="226"/>
    </row>
    <row r="624" spans="3:3" ht="21" customHeight="1" x14ac:dyDescent="0.2">
      <c r="C624" s="226"/>
    </row>
    <row r="625" spans="3:3" ht="21" customHeight="1" x14ac:dyDescent="0.2">
      <c r="C625" s="226"/>
    </row>
    <row r="626" spans="3:3" ht="21" customHeight="1" x14ac:dyDescent="0.2">
      <c r="C626" s="226"/>
    </row>
    <row r="627" spans="3:3" ht="21" customHeight="1" x14ac:dyDescent="0.2">
      <c r="C627" s="226"/>
    </row>
    <row r="628" spans="3:3" ht="21" customHeight="1" x14ac:dyDescent="0.2">
      <c r="C628" s="226"/>
    </row>
    <row r="629" spans="3:3" ht="21" customHeight="1" x14ac:dyDescent="0.2">
      <c r="C629" s="226"/>
    </row>
    <row r="630" spans="3:3" ht="21" customHeight="1" x14ac:dyDescent="0.2">
      <c r="C630" s="226"/>
    </row>
    <row r="631" spans="3:3" ht="21" customHeight="1" x14ac:dyDescent="0.2">
      <c r="C631" s="226"/>
    </row>
    <row r="632" spans="3:3" ht="21" customHeight="1" x14ac:dyDescent="0.2">
      <c r="C632" s="226"/>
    </row>
    <row r="633" spans="3:3" ht="21" customHeight="1" x14ac:dyDescent="0.2">
      <c r="C633" s="226"/>
    </row>
    <row r="634" spans="3:3" ht="21" customHeight="1" x14ac:dyDescent="0.2">
      <c r="C634" s="226"/>
    </row>
    <row r="635" spans="3:3" ht="21" customHeight="1" x14ac:dyDescent="0.2">
      <c r="C635" s="226"/>
    </row>
    <row r="636" spans="3:3" ht="21" customHeight="1" x14ac:dyDescent="0.2">
      <c r="C636" s="226"/>
    </row>
    <row r="637" spans="3:3" ht="21" customHeight="1" x14ac:dyDescent="0.2">
      <c r="C637" s="226"/>
    </row>
    <row r="638" spans="3:3" ht="21" customHeight="1" x14ac:dyDescent="0.2">
      <c r="C638" s="226"/>
    </row>
    <row r="639" spans="3:3" ht="21" customHeight="1" x14ac:dyDescent="0.2">
      <c r="C639" s="226"/>
    </row>
    <row r="640" spans="3:3" ht="21" customHeight="1" x14ac:dyDescent="0.2">
      <c r="C640" s="226"/>
    </row>
    <row r="641" spans="3:3" ht="21" customHeight="1" x14ac:dyDescent="0.2">
      <c r="C641" s="226"/>
    </row>
    <row r="642" spans="3:3" ht="21" customHeight="1" x14ac:dyDescent="0.2">
      <c r="C642" s="226"/>
    </row>
    <row r="643" spans="3:3" ht="21" customHeight="1" x14ac:dyDescent="0.2">
      <c r="C643" s="226"/>
    </row>
    <row r="644" spans="3:3" ht="21" customHeight="1" x14ac:dyDescent="0.2">
      <c r="C644" s="226"/>
    </row>
    <row r="645" spans="3:3" ht="21" customHeight="1" x14ac:dyDescent="0.2">
      <c r="C645" s="226"/>
    </row>
    <row r="646" spans="3:3" ht="21" customHeight="1" x14ac:dyDescent="0.2">
      <c r="C646" s="226"/>
    </row>
    <row r="647" spans="3:3" ht="21" customHeight="1" x14ac:dyDescent="0.2">
      <c r="C647" s="226"/>
    </row>
    <row r="648" spans="3:3" ht="21" customHeight="1" x14ac:dyDescent="0.2">
      <c r="C648" s="226"/>
    </row>
    <row r="649" spans="3:3" ht="21" customHeight="1" x14ac:dyDescent="0.2">
      <c r="C649" s="226"/>
    </row>
    <row r="650" spans="3:3" ht="21" customHeight="1" x14ac:dyDescent="0.2">
      <c r="C650" s="226"/>
    </row>
    <row r="651" spans="3:3" ht="21" customHeight="1" x14ac:dyDescent="0.2">
      <c r="C651" s="226"/>
    </row>
    <row r="652" spans="3:3" ht="21" customHeight="1" x14ac:dyDescent="0.2">
      <c r="C652" s="226"/>
    </row>
    <row r="653" spans="3:3" ht="21" customHeight="1" x14ac:dyDescent="0.2">
      <c r="C653" s="226"/>
    </row>
    <row r="654" spans="3:3" ht="21" customHeight="1" x14ac:dyDescent="0.2">
      <c r="C654" s="226"/>
    </row>
    <row r="655" spans="3:3" ht="21" customHeight="1" x14ac:dyDescent="0.2">
      <c r="C655" s="226"/>
    </row>
    <row r="656" spans="3:3" ht="21" customHeight="1" x14ac:dyDescent="0.2">
      <c r="C656" s="226"/>
    </row>
    <row r="657" spans="3:3" ht="21" customHeight="1" x14ac:dyDescent="0.2">
      <c r="C657" s="226"/>
    </row>
    <row r="658" spans="3:3" ht="21" customHeight="1" x14ac:dyDescent="0.2">
      <c r="C658" s="226"/>
    </row>
    <row r="659" spans="3:3" ht="21" customHeight="1" x14ac:dyDescent="0.2">
      <c r="C659" s="226"/>
    </row>
    <row r="660" spans="3:3" ht="21" customHeight="1" x14ac:dyDescent="0.2">
      <c r="C660" s="226"/>
    </row>
    <row r="661" spans="3:3" ht="21" customHeight="1" x14ac:dyDescent="0.2">
      <c r="C661" s="226"/>
    </row>
    <row r="662" spans="3:3" ht="21" customHeight="1" x14ac:dyDescent="0.2">
      <c r="C662" s="226"/>
    </row>
    <row r="663" spans="3:3" ht="21" customHeight="1" x14ac:dyDescent="0.2">
      <c r="C663" s="226"/>
    </row>
    <row r="664" spans="3:3" ht="21" customHeight="1" x14ac:dyDescent="0.2">
      <c r="C664" s="226"/>
    </row>
    <row r="665" spans="3:3" ht="21" customHeight="1" x14ac:dyDescent="0.2">
      <c r="C665" s="226"/>
    </row>
    <row r="666" spans="3:3" ht="21" customHeight="1" x14ac:dyDescent="0.2">
      <c r="C666" s="226"/>
    </row>
    <row r="667" spans="3:3" ht="21" customHeight="1" x14ac:dyDescent="0.2">
      <c r="C667" s="226"/>
    </row>
    <row r="668" spans="3:3" ht="21" customHeight="1" x14ac:dyDescent="0.2">
      <c r="C668" s="226"/>
    </row>
    <row r="669" spans="3:3" ht="21" customHeight="1" x14ac:dyDescent="0.2">
      <c r="C669" s="226"/>
    </row>
    <row r="670" spans="3:3" ht="21" customHeight="1" x14ac:dyDescent="0.2">
      <c r="C670" s="226"/>
    </row>
    <row r="671" spans="3:3" ht="21" customHeight="1" x14ac:dyDescent="0.2">
      <c r="C671" s="226"/>
    </row>
    <row r="672" spans="3:3" ht="21" customHeight="1" x14ac:dyDescent="0.2">
      <c r="C672" s="226"/>
    </row>
    <row r="673" spans="3:3" ht="21" customHeight="1" x14ac:dyDescent="0.2">
      <c r="C673" s="226"/>
    </row>
    <row r="674" spans="3:3" ht="21" customHeight="1" x14ac:dyDescent="0.2">
      <c r="C674" s="226"/>
    </row>
    <row r="675" spans="3:3" ht="21" customHeight="1" x14ac:dyDescent="0.2">
      <c r="C675" s="226"/>
    </row>
    <row r="676" spans="3:3" ht="21" customHeight="1" x14ac:dyDescent="0.2">
      <c r="C676" s="226"/>
    </row>
    <row r="677" spans="3:3" ht="21" customHeight="1" x14ac:dyDescent="0.2">
      <c r="C677" s="226"/>
    </row>
    <row r="678" spans="3:3" ht="21" customHeight="1" x14ac:dyDescent="0.2">
      <c r="C678" s="226"/>
    </row>
    <row r="679" spans="3:3" ht="21" customHeight="1" x14ac:dyDescent="0.2">
      <c r="C679" s="226"/>
    </row>
    <row r="680" spans="3:3" ht="21" customHeight="1" x14ac:dyDescent="0.2">
      <c r="C680" s="226"/>
    </row>
    <row r="681" spans="3:3" ht="21" customHeight="1" x14ac:dyDescent="0.2">
      <c r="C681" s="226"/>
    </row>
    <row r="682" spans="3:3" ht="21" customHeight="1" x14ac:dyDescent="0.2">
      <c r="C682" s="226"/>
    </row>
    <row r="683" spans="3:3" ht="21" customHeight="1" x14ac:dyDescent="0.2">
      <c r="C683" s="226"/>
    </row>
    <row r="684" spans="3:3" ht="21" customHeight="1" x14ac:dyDescent="0.2">
      <c r="C684" s="226"/>
    </row>
    <row r="685" spans="3:3" ht="21" customHeight="1" x14ac:dyDescent="0.2">
      <c r="C685" s="226"/>
    </row>
    <row r="686" spans="3:3" ht="21" customHeight="1" x14ac:dyDescent="0.2">
      <c r="C686" s="226"/>
    </row>
    <row r="687" spans="3:3" ht="21" customHeight="1" x14ac:dyDescent="0.2">
      <c r="C687" s="226"/>
    </row>
    <row r="688" spans="3:3" ht="21" customHeight="1" x14ac:dyDescent="0.2">
      <c r="C688" s="226"/>
    </row>
    <row r="689" spans="3:3" ht="21" customHeight="1" x14ac:dyDescent="0.2">
      <c r="C689" s="226"/>
    </row>
    <row r="690" spans="3:3" ht="21" customHeight="1" x14ac:dyDescent="0.2">
      <c r="C690" s="226"/>
    </row>
    <row r="691" spans="3:3" ht="21" customHeight="1" x14ac:dyDescent="0.2">
      <c r="C691" s="226"/>
    </row>
    <row r="692" spans="3:3" ht="21" customHeight="1" x14ac:dyDescent="0.2">
      <c r="C692" s="226"/>
    </row>
    <row r="693" spans="3:3" ht="21" customHeight="1" x14ac:dyDescent="0.2">
      <c r="C693" s="226"/>
    </row>
    <row r="694" spans="3:3" ht="21" customHeight="1" x14ac:dyDescent="0.2">
      <c r="C694" s="226"/>
    </row>
    <row r="695" spans="3:3" ht="21" customHeight="1" x14ac:dyDescent="0.2">
      <c r="C695" s="226"/>
    </row>
    <row r="696" spans="3:3" ht="21" customHeight="1" x14ac:dyDescent="0.2">
      <c r="C696" s="226"/>
    </row>
    <row r="697" spans="3:3" ht="21" customHeight="1" x14ac:dyDescent="0.2">
      <c r="C697" s="226"/>
    </row>
    <row r="698" spans="3:3" ht="21" customHeight="1" x14ac:dyDescent="0.2">
      <c r="C698" s="226"/>
    </row>
    <row r="699" spans="3:3" ht="21" customHeight="1" x14ac:dyDescent="0.2">
      <c r="C699" s="226"/>
    </row>
    <row r="700" spans="3:3" ht="21" customHeight="1" x14ac:dyDescent="0.2">
      <c r="C700" s="226"/>
    </row>
    <row r="701" spans="3:3" ht="21" customHeight="1" x14ac:dyDescent="0.2">
      <c r="C701" s="226"/>
    </row>
    <row r="702" spans="3:3" ht="21" customHeight="1" x14ac:dyDescent="0.2">
      <c r="C702" s="226"/>
    </row>
    <row r="703" spans="3:3" ht="21" customHeight="1" x14ac:dyDescent="0.2">
      <c r="C703" s="226"/>
    </row>
    <row r="704" spans="3:3" ht="21" customHeight="1" x14ac:dyDescent="0.2">
      <c r="C704" s="226"/>
    </row>
    <row r="705" spans="3:3" ht="21" customHeight="1" x14ac:dyDescent="0.2">
      <c r="C705" s="226"/>
    </row>
    <row r="706" spans="3:3" ht="21" customHeight="1" x14ac:dyDescent="0.2">
      <c r="C706" s="226"/>
    </row>
    <row r="707" spans="3:3" ht="21" customHeight="1" x14ac:dyDescent="0.2">
      <c r="C707" s="226"/>
    </row>
    <row r="708" spans="3:3" ht="21" customHeight="1" x14ac:dyDescent="0.2">
      <c r="C708" s="226"/>
    </row>
    <row r="709" spans="3:3" ht="21" customHeight="1" x14ac:dyDescent="0.2">
      <c r="C709" s="226"/>
    </row>
    <row r="710" spans="3:3" ht="21" customHeight="1" x14ac:dyDescent="0.2">
      <c r="C710" s="226"/>
    </row>
    <row r="711" spans="3:3" ht="21" customHeight="1" x14ac:dyDescent="0.2">
      <c r="C711" s="226"/>
    </row>
    <row r="712" spans="3:3" ht="21" customHeight="1" x14ac:dyDescent="0.2">
      <c r="C712" s="226"/>
    </row>
    <row r="713" spans="3:3" ht="21" customHeight="1" x14ac:dyDescent="0.2">
      <c r="C713" s="226"/>
    </row>
    <row r="714" spans="3:3" ht="21" customHeight="1" x14ac:dyDescent="0.2">
      <c r="C714" s="226"/>
    </row>
    <row r="715" spans="3:3" ht="21" customHeight="1" x14ac:dyDescent="0.2">
      <c r="C715" s="226"/>
    </row>
    <row r="716" spans="3:3" ht="21" customHeight="1" x14ac:dyDescent="0.2">
      <c r="C716" s="226"/>
    </row>
    <row r="717" spans="3:3" ht="21" customHeight="1" x14ac:dyDescent="0.2">
      <c r="C717" s="226"/>
    </row>
    <row r="718" spans="3:3" ht="21" customHeight="1" x14ac:dyDescent="0.2">
      <c r="C718" s="226"/>
    </row>
    <row r="719" spans="3:3" ht="21" customHeight="1" x14ac:dyDescent="0.2">
      <c r="C719" s="226"/>
    </row>
    <row r="720" spans="3:3" ht="21" customHeight="1" x14ac:dyDescent="0.2">
      <c r="C720" s="226"/>
    </row>
    <row r="721" spans="3:3" ht="21" customHeight="1" x14ac:dyDescent="0.2">
      <c r="C721" s="226"/>
    </row>
    <row r="722" spans="3:3" ht="21" customHeight="1" x14ac:dyDescent="0.2">
      <c r="C722" s="226"/>
    </row>
    <row r="723" spans="3:3" ht="21" customHeight="1" x14ac:dyDescent="0.2">
      <c r="C723" s="226"/>
    </row>
    <row r="724" spans="3:3" ht="21" customHeight="1" x14ac:dyDescent="0.2">
      <c r="C724" s="226"/>
    </row>
    <row r="725" spans="3:3" ht="21" customHeight="1" x14ac:dyDescent="0.2">
      <c r="C725" s="226"/>
    </row>
    <row r="726" spans="3:3" ht="21" customHeight="1" x14ac:dyDescent="0.2">
      <c r="C726" s="226"/>
    </row>
    <row r="727" spans="3:3" ht="21" customHeight="1" x14ac:dyDescent="0.2">
      <c r="C727" s="226"/>
    </row>
    <row r="728" spans="3:3" ht="21" customHeight="1" x14ac:dyDescent="0.2">
      <c r="C728" s="226"/>
    </row>
    <row r="729" spans="3:3" ht="21" customHeight="1" x14ac:dyDescent="0.2">
      <c r="C729" s="226"/>
    </row>
    <row r="730" spans="3:3" ht="21" customHeight="1" x14ac:dyDescent="0.2">
      <c r="C730" s="226"/>
    </row>
    <row r="731" spans="3:3" ht="21" customHeight="1" x14ac:dyDescent="0.2">
      <c r="C731" s="226"/>
    </row>
    <row r="732" spans="3:3" ht="21" customHeight="1" x14ac:dyDescent="0.2">
      <c r="C732" s="226"/>
    </row>
    <row r="733" spans="3:3" ht="21" customHeight="1" x14ac:dyDescent="0.2">
      <c r="C733" s="226"/>
    </row>
    <row r="734" spans="3:3" ht="21" customHeight="1" x14ac:dyDescent="0.2">
      <c r="C734" s="226"/>
    </row>
    <row r="735" spans="3:3" ht="21" customHeight="1" x14ac:dyDescent="0.2">
      <c r="C735" s="226"/>
    </row>
    <row r="736" spans="3:3" ht="21" customHeight="1" x14ac:dyDescent="0.2">
      <c r="C736" s="226"/>
    </row>
    <row r="737" spans="3:3" ht="21" customHeight="1" x14ac:dyDescent="0.2">
      <c r="C737" s="226"/>
    </row>
    <row r="738" spans="3:3" ht="21" customHeight="1" x14ac:dyDescent="0.2">
      <c r="C738" s="226"/>
    </row>
    <row r="739" spans="3:3" ht="21" customHeight="1" x14ac:dyDescent="0.2">
      <c r="C739" s="226"/>
    </row>
    <row r="740" spans="3:3" ht="21" customHeight="1" x14ac:dyDescent="0.2">
      <c r="C740" s="226"/>
    </row>
    <row r="741" spans="3:3" ht="21" customHeight="1" x14ac:dyDescent="0.2">
      <c r="C741" s="226"/>
    </row>
    <row r="742" spans="3:3" ht="21" customHeight="1" x14ac:dyDescent="0.2">
      <c r="C742" s="226"/>
    </row>
    <row r="743" spans="3:3" ht="21" customHeight="1" x14ac:dyDescent="0.2">
      <c r="C743" s="226"/>
    </row>
    <row r="744" spans="3:3" ht="21" customHeight="1" x14ac:dyDescent="0.2">
      <c r="C744" s="226"/>
    </row>
    <row r="745" spans="3:3" ht="21" customHeight="1" x14ac:dyDescent="0.2">
      <c r="C745" s="226"/>
    </row>
    <row r="746" spans="3:3" ht="21" customHeight="1" x14ac:dyDescent="0.2">
      <c r="C746" s="226"/>
    </row>
    <row r="747" spans="3:3" ht="21" customHeight="1" x14ac:dyDescent="0.2">
      <c r="C747" s="226"/>
    </row>
    <row r="748" spans="3:3" ht="21" customHeight="1" x14ac:dyDescent="0.2">
      <c r="C748" s="226"/>
    </row>
    <row r="749" spans="3:3" ht="21" customHeight="1" x14ac:dyDescent="0.2">
      <c r="C749" s="226"/>
    </row>
    <row r="750" spans="3:3" ht="21" customHeight="1" x14ac:dyDescent="0.2">
      <c r="C750" s="226"/>
    </row>
    <row r="751" spans="3:3" ht="21" customHeight="1" x14ac:dyDescent="0.2">
      <c r="C751" s="226"/>
    </row>
    <row r="752" spans="3:3" ht="21" customHeight="1" x14ac:dyDescent="0.2">
      <c r="C752" s="226"/>
    </row>
    <row r="753" spans="3:3" ht="21" customHeight="1" x14ac:dyDescent="0.2">
      <c r="C753" s="226"/>
    </row>
    <row r="754" spans="3:3" ht="21" customHeight="1" x14ac:dyDescent="0.2">
      <c r="C754" s="226"/>
    </row>
    <row r="755" spans="3:3" ht="21" customHeight="1" x14ac:dyDescent="0.2">
      <c r="C755" s="226"/>
    </row>
    <row r="756" spans="3:3" ht="21" customHeight="1" x14ac:dyDescent="0.2">
      <c r="C756" s="226"/>
    </row>
    <row r="757" spans="3:3" ht="21" customHeight="1" x14ac:dyDescent="0.2">
      <c r="C757" s="226"/>
    </row>
    <row r="758" spans="3:3" ht="21" customHeight="1" x14ac:dyDescent="0.2">
      <c r="C758" s="226"/>
    </row>
    <row r="759" spans="3:3" ht="21" customHeight="1" x14ac:dyDescent="0.2">
      <c r="C759" s="226"/>
    </row>
    <row r="760" spans="3:3" ht="21" customHeight="1" x14ac:dyDescent="0.2">
      <c r="C760" s="226"/>
    </row>
    <row r="761" spans="3:3" ht="21" customHeight="1" x14ac:dyDescent="0.2">
      <c r="C761" s="226"/>
    </row>
    <row r="762" spans="3:3" ht="21" customHeight="1" x14ac:dyDescent="0.2">
      <c r="C762" s="226"/>
    </row>
    <row r="763" spans="3:3" ht="21" customHeight="1" x14ac:dyDescent="0.2">
      <c r="C763" s="226"/>
    </row>
    <row r="764" spans="3:3" ht="21" customHeight="1" x14ac:dyDescent="0.2">
      <c r="C764" s="226"/>
    </row>
    <row r="765" spans="3:3" ht="21" customHeight="1" x14ac:dyDescent="0.2">
      <c r="C765" s="226"/>
    </row>
    <row r="766" spans="3:3" ht="21" customHeight="1" x14ac:dyDescent="0.2">
      <c r="C766" s="226"/>
    </row>
    <row r="767" spans="3:3" ht="21" customHeight="1" x14ac:dyDescent="0.2">
      <c r="C767" s="226"/>
    </row>
    <row r="768" spans="3:3" ht="21" customHeight="1" x14ac:dyDescent="0.2">
      <c r="C768" s="226"/>
    </row>
    <row r="769" spans="3:3" ht="21" customHeight="1" x14ac:dyDescent="0.2">
      <c r="C769" s="226"/>
    </row>
    <row r="770" spans="3:3" ht="21" customHeight="1" x14ac:dyDescent="0.2">
      <c r="C770" s="226"/>
    </row>
    <row r="771" spans="3:3" ht="21" customHeight="1" x14ac:dyDescent="0.2">
      <c r="C771" s="226"/>
    </row>
    <row r="772" spans="3:3" ht="21" customHeight="1" x14ac:dyDescent="0.2">
      <c r="C772" s="226"/>
    </row>
    <row r="773" spans="3:3" ht="21" customHeight="1" x14ac:dyDescent="0.2">
      <c r="C773" s="226"/>
    </row>
    <row r="774" spans="3:3" ht="21" customHeight="1" x14ac:dyDescent="0.2">
      <c r="C774" s="226"/>
    </row>
    <row r="775" spans="3:3" ht="21" customHeight="1" x14ac:dyDescent="0.2">
      <c r="C775" s="226"/>
    </row>
    <row r="776" spans="3:3" ht="21" customHeight="1" x14ac:dyDescent="0.2">
      <c r="C776" s="226"/>
    </row>
    <row r="777" spans="3:3" ht="21" customHeight="1" x14ac:dyDescent="0.2">
      <c r="C777" s="226"/>
    </row>
    <row r="778" spans="3:3" ht="21" customHeight="1" x14ac:dyDescent="0.2">
      <c r="C778" s="226"/>
    </row>
    <row r="779" spans="3:3" ht="21" customHeight="1" x14ac:dyDescent="0.2">
      <c r="C779" s="226"/>
    </row>
    <row r="780" spans="3:3" ht="21" customHeight="1" x14ac:dyDescent="0.2">
      <c r="C780" s="226"/>
    </row>
    <row r="781" spans="3:3" ht="21" customHeight="1" x14ac:dyDescent="0.2">
      <c r="C781" s="226"/>
    </row>
    <row r="782" spans="3:3" ht="21" customHeight="1" x14ac:dyDescent="0.2">
      <c r="C782" s="226"/>
    </row>
    <row r="783" spans="3:3" ht="21" customHeight="1" x14ac:dyDescent="0.2">
      <c r="C783" s="226"/>
    </row>
    <row r="784" spans="3:3" ht="21" customHeight="1" x14ac:dyDescent="0.2">
      <c r="C784" s="226"/>
    </row>
    <row r="785" spans="3:3" ht="21" customHeight="1" x14ac:dyDescent="0.2">
      <c r="C785" s="226"/>
    </row>
    <row r="786" spans="3:3" ht="21" customHeight="1" x14ac:dyDescent="0.2">
      <c r="C786" s="226"/>
    </row>
    <row r="787" spans="3:3" ht="21" customHeight="1" x14ac:dyDescent="0.2">
      <c r="C787" s="226"/>
    </row>
    <row r="788" spans="3:3" ht="21" customHeight="1" x14ac:dyDescent="0.2">
      <c r="C788" s="226"/>
    </row>
    <row r="789" spans="3:3" ht="21" customHeight="1" x14ac:dyDescent="0.2">
      <c r="C789" s="226"/>
    </row>
    <row r="790" spans="3:3" ht="21" customHeight="1" x14ac:dyDescent="0.2">
      <c r="C790" s="226"/>
    </row>
    <row r="791" spans="3:3" ht="21" customHeight="1" x14ac:dyDescent="0.2">
      <c r="C791" s="226"/>
    </row>
    <row r="792" spans="3:3" ht="21" customHeight="1" x14ac:dyDescent="0.2">
      <c r="C792" s="226"/>
    </row>
    <row r="793" spans="3:3" ht="21" customHeight="1" x14ac:dyDescent="0.2">
      <c r="C793" s="226"/>
    </row>
    <row r="794" spans="3:3" ht="21" customHeight="1" x14ac:dyDescent="0.2">
      <c r="C794" s="226"/>
    </row>
    <row r="795" spans="3:3" ht="21" customHeight="1" x14ac:dyDescent="0.2">
      <c r="C795" s="226"/>
    </row>
    <row r="796" spans="3:3" ht="21" customHeight="1" x14ac:dyDescent="0.2">
      <c r="C796" s="226"/>
    </row>
    <row r="797" spans="3:3" ht="21" customHeight="1" x14ac:dyDescent="0.2">
      <c r="C797" s="226"/>
    </row>
    <row r="798" spans="3:3" ht="21" customHeight="1" x14ac:dyDescent="0.2">
      <c r="C798" s="226"/>
    </row>
    <row r="799" spans="3:3" ht="21" customHeight="1" x14ac:dyDescent="0.2">
      <c r="C799" s="226"/>
    </row>
    <row r="800" spans="3:3" ht="21" customHeight="1" x14ac:dyDescent="0.2">
      <c r="C800" s="226"/>
    </row>
    <row r="801" spans="3:3" ht="21" customHeight="1" x14ac:dyDescent="0.2">
      <c r="C801" s="226"/>
    </row>
    <row r="802" spans="3:3" ht="21" customHeight="1" x14ac:dyDescent="0.2">
      <c r="C802" s="226"/>
    </row>
    <row r="803" spans="3:3" ht="21" customHeight="1" x14ac:dyDescent="0.2">
      <c r="C803" s="226"/>
    </row>
    <row r="804" spans="3:3" ht="21" customHeight="1" x14ac:dyDescent="0.2">
      <c r="C804" s="226"/>
    </row>
    <row r="805" spans="3:3" ht="21" customHeight="1" x14ac:dyDescent="0.2">
      <c r="C805" s="226"/>
    </row>
    <row r="806" spans="3:3" ht="21" customHeight="1" x14ac:dyDescent="0.2">
      <c r="C806" s="226"/>
    </row>
    <row r="807" spans="3:3" ht="21" customHeight="1" x14ac:dyDescent="0.2">
      <c r="C807" s="226"/>
    </row>
    <row r="808" spans="3:3" ht="21" customHeight="1" x14ac:dyDescent="0.2">
      <c r="C808" s="226"/>
    </row>
    <row r="809" spans="3:3" ht="21" customHeight="1" x14ac:dyDescent="0.2">
      <c r="C809" s="226"/>
    </row>
    <row r="810" spans="3:3" ht="21" customHeight="1" x14ac:dyDescent="0.2">
      <c r="C810" s="226"/>
    </row>
    <row r="811" spans="3:3" ht="21" customHeight="1" x14ac:dyDescent="0.2">
      <c r="C811" s="226"/>
    </row>
    <row r="812" spans="3:3" ht="21" customHeight="1" x14ac:dyDescent="0.2">
      <c r="C812" s="226"/>
    </row>
    <row r="813" spans="3:3" ht="21" customHeight="1" x14ac:dyDescent="0.2">
      <c r="C813" s="226"/>
    </row>
    <row r="814" spans="3:3" ht="21" customHeight="1" x14ac:dyDescent="0.2">
      <c r="C814" s="226"/>
    </row>
    <row r="815" spans="3:3" ht="21" customHeight="1" x14ac:dyDescent="0.2">
      <c r="C815" s="226"/>
    </row>
    <row r="816" spans="3:3" ht="21" customHeight="1" x14ac:dyDescent="0.2">
      <c r="C816" s="226"/>
    </row>
    <row r="817" spans="3:3" ht="21" customHeight="1" x14ac:dyDescent="0.2">
      <c r="C817" s="226"/>
    </row>
    <row r="818" spans="3:3" ht="21" customHeight="1" x14ac:dyDescent="0.2">
      <c r="C818" s="226"/>
    </row>
    <row r="819" spans="3:3" ht="21" customHeight="1" x14ac:dyDescent="0.2">
      <c r="C819" s="226"/>
    </row>
    <row r="820" spans="3:3" ht="21" customHeight="1" x14ac:dyDescent="0.2">
      <c r="C820" s="226"/>
    </row>
    <row r="821" spans="3:3" ht="21" customHeight="1" x14ac:dyDescent="0.2">
      <c r="C821" s="226"/>
    </row>
    <row r="822" spans="3:3" ht="21" customHeight="1" x14ac:dyDescent="0.2">
      <c r="C822" s="226"/>
    </row>
    <row r="823" spans="3:3" ht="21" customHeight="1" x14ac:dyDescent="0.2">
      <c r="C823" s="226"/>
    </row>
    <row r="824" spans="3:3" ht="21" customHeight="1" x14ac:dyDescent="0.2">
      <c r="C824" s="226"/>
    </row>
    <row r="825" spans="3:3" ht="21" customHeight="1" x14ac:dyDescent="0.2">
      <c r="C825" s="226"/>
    </row>
    <row r="826" spans="3:3" ht="21" customHeight="1" x14ac:dyDescent="0.2">
      <c r="C826" s="226"/>
    </row>
    <row r="827" spans="3:3" ht="21" customHeight="1" x14ac:dyDescent="0.2">
      <c r="C827" s="226"/>
    </row>
    <row r="828" spans="3:3" ht="21" customHeight="1" x14ac:dyDescent="0.2">
      <c r="C828" s="226"/>
    </row>
    <row r="829" spans="3:3" ht="21" customHeight="1" x14ac:dyDescent="0.2">
      <c r="C829" s="226"/>
    </row>
    <row r="830" spans="3:3" ht="21" customHeight="1" x14ac:dyDescent="0.2">
      <c r="C830" s="226"/>
    </row>
    <row r="831" spans="3:3" ht="21" customHeight="1" x14ac:dyDescent="0.2">
      <c r="C831" s="226"/>
    </row>
    <row r="832" spans="3:3" ht="21" customHeight="1" x14ac:dyDescent="0.2">
      <c r="C832" s="226"/>
    </row>
    <row r="833" spans="3:3" ht="21" customHeight="1" x14ac:dyDescent="0.2">
      <c r="C833" s="226"/>
    </row>
    <row r="834" spans="3:3" ht="21" customHeight="1" x14ac:dyDescent="0.2">
      <c r="C834" s="226"/>
    </row>
    <row r="835" spans="3:3" ht="21" customHeight="1" x14ac:dyDescent="0.2">
      <c r="C835" s="226"/>
    </row>
    <row r="836" spans="3:3" ht="21" customHeight="1" x14ac:dyDescent="0.2">
      <c r="C836" s="226"/>
    </row>
    <row r="837" spans="3:3" ht="21" customHeight="1" x14ac:dyDescent="0.2">
      <c r="C837" s="226"/>
    </row>
    <row r="838" spans="3:3" ht="21" customHeight="1" x14ac:dyDescent="0.2">
      <c r="C838" s="226"/>
    </row>
    <row r="839" spans="3:3" ht="21" customHeight="1" x14ac:dyDescent="0.2">
      <c r="C839" s="226"/>
    </row>
    <row r="840" spans="3:3" ht="21" customHeight="1" x14ac:dyDescent="0.2">
      <c r="C840" s="226"/>
    </row>
    <row r="841" spans="3:3" ht="21" customHeight="1" x14ac:dyDescent="0.2">
      <c r="C841" s="226"/>
    </row>
    <row r="842" spans="3:3" ht="21" customHeight="1" x14ac:dyDescent="0.2">
      <c r="C842" s="226"/>
    </row>
    <row r="843" spans="3:3" ht="21" customHeight="1" x14ac:dyDescent="0.2">
      <c r="C843" s="226"/>
    </row>
    <row r="844" spans="3:3" ht="21" customHeight="1" x14ac:dyDescent="0.2">
      <c r="C844" s="226"/>
    </row>
    <row r="845" spans="3:3" ht="21" customHeight="1" x14ac:dyDescent="0.2">
      <c r="C845" s="226"/>
    </row>
    <row r="846" spans="3:3" ht="21" customHeight="1" x14ac:dyDescent="0.2">
      <c r="C846" s="226"/>
    </row>
    <row r="847" spans="3:3" ht="21" customHeight="1" x14ac:dyDescent="0.2">
      <c r="C847" s="226"/>
    </row>
    <row r="848" spans="3:3" ht="21" customHeight="1" x14ac:dyDescent="0.2">
      <c r="C848" s="226"/>
    </row>
    <row r="849" spans="3:3" ht="21" customHeight="1" x14ac:dyDescent="0.2">
      <c r="C849" s="226"/>
    </row>
    <row r="850" spans="3:3" ht="21" customHeight="1" x14ac:dyDescent="0.2">
      <c r="C850" s="226"/>
    </row>
    <row r="851" spans="3:3" ht="21" customHeight="1" x14ac:dyDescent="0.2">
      <c r="C851" s="226"/>
    </row>
    <row r="852" spans="3:3" ht="21" customHeight="1" x14ac:dyDescent="0.2">
      <c r="C852" s="226"/>
    </row>
    <row r="853" spans="3:3" ht="21" customHeight="1" x14ac:dyDescent="0.2">
      <c r="C853" s="226"/>
    </row>
    <row r="854" spans="3:3" ht="21" customHeight="1" x14ac:dyDescent="0.2">
      <c r="C854" s="226"/>
    </row>
    <row r="855" spans="3:3" ht="21" customHeight="1" x14ac:dyDescent="0.2">
      <c r="C855" s="226"/>
    </row>
    <row r="856" spans="3:3" ht="21" customHeight="1" x14ac:dyDescent="0.2">
      <c r="C856" s="226"/>
    </row>
    <row r="857" spans="3:3" ht="21" customHeight="1" x14ac:dyDescent="0.2">
      <c r="C857" s="226"/>
    </row>
    <row r="858" spans="3:3" ht="21" customHeight="1" x14ac:dyDescent="0.2">
      <c r="C858" s="226"/>
    </row>
    <row r="859" spans="3:3" ht="21" customHeight="1" x14ac:dyDescent="0.2">
      <c r="C859" s="226"/>
    </row>
    <row r="860" spans="3:3" ht="21" customHeight="1" x14ac:dyDescent="0.2">
      <c r="C860" s="226"/>
    </row>
    <row r="861" spans="3:3" ht="21" customHeight="1" x14ac:dyDescent="0.2">
      <c r="C861" s="226"/>
    </row>
    <row r="862" spans="3:3" ht="21" customHeight="1" x14ac:dyDescent="0.2">
      <c r="C862" s="226"/>
    </row>
    <row r="863" spans="3:3" ht="21" customHeight="1" x14ac:dyDescent="0.2">
      <c r="C863" s="226"/>
    </row>
    <row r="864" spans="3:3" ht="21" customHeight="1" x14ac:dyDescent="0.2">
      <c r="C864" s="226"/>
    </row>
    <row r="865" spans="3:3" ht="21" customHeight="1" x14ac:dyDescent="0.2">
      <c r="C865" s="226"/>
    </row>
    <row r="866" spans="3:3" ht="21" customHeight="1" x14ac:dyDescent="0.2">
      <c r="C866" s="226"/>
    </row>
    <row r="867" spans="3:3" ht="21" customHeight="1" x14ac:dyDescent="0.2">
      <c r="C867" s="226"/>
    </row>
    <row r="868" spans="3:3" ht="21" customHeight="1" x14ac:dyDescent="0.2">
      <c r="C868" s="226"/>
    </row>
  </sheetData>
  <phoneticPr fontId="0" type="noConversion"/>
  <pageMargins left="1.25" right="0.5" top="0.75" bottom="0.25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6"/>
  <sheetViews>
    <sheetView topLeftCell="A4" workbookViewId="0">
      <selection activeCell="D13" sqref="D13"/>
    </sheetView>
  </sheetViews>
  <sheetFormatPr defaultRowHeight="13.5" customHeight="1" x14ac:dyDescent="0.2"/>
  <cols>
    <col min="1" max="1" width="9" style="178" customWidth="1"/>
    <col min="2" max="2" width="55.42578125" style="178" customWidth="1"/>
    <col min="3" max="3" width="22.7109375" style="231" customWidth="1"/>
    <col min="4" max="16384" width="9.140625" style="55"/>
  </cols>
  <sheetData>
    <row r="1" spans="1:3" s="117" customFormat="1" ht="13.5" customHeight="1" x14ac:dyDescent="0.2">
      <c r="A1" s="249"/>
      <c r="B1" s="249"/>
      <c r="C1" s="249"/>
    </row>
    <row r="2" spans="1:3" s="117" customFormat="1" ht="13.5" customHeight="1" x14ac:dyDescent="0.2">
      <c r="A2" s="250" t="s">
        <v>610</v>
      </c>
      <c r="B2" s="250"/>
      <c r="C2" s="250"/>
    </row>
    <row r="3" spans="1:3" ht="13.5" customHeight="1" x14ac:dyDescent="0.2">
      <c r="A3" s="250" t="s">
        <v>70</v>
      </c>
      <c r="B3" s="250"/>
      <c r="C3" s="250"/>
    </row>
    <row r="4" spans="1:3" s="117" customFormat="1" ht="13.5" customHeight="1" x14ac:dyDescent="0.2">
      <c r="A4" s="179" t="s">
        <v>34</v>
      </c>
      <c r="B4" s="179" t="s">
        <v>71</v>
      </c>
      <c r="C4" s="251" t="s">
        <v>72</v>
      </c>
    </row>
    <row r="5" spans="1:3" ht="13.5" customHeight="1" x14ac:dyDescent="0.2">
      <c r="A5" s="177"/>
      <c r="B5" s="121"/>
      <c r="C5" s="229"/>
    </row>
    <row r="6" spans="1:3" ht="13.5" customHeight="1" x14ac:dyDescent="0.2">
      <c r="A6" s="177"/>
      <c r="B6" s="121"/>
      <c r="C6" s="229"/>
    </row>
    <row r="7" spans="1:3" ht="13.5" customHeight="1" x14ac:dyDescent="0.2">
      <c r="A7" s="177"/>
      <c r="B7" s="121"/>
      <c r="C7" s="229"/>
    </row>
    <row r="8" spans="1:3" ht="13.5" customHeight="1" x14ac:dyDescent="0.2">
      <c r="A8" s="177"/>
      <c r="B8" s="121"/>
      <c r="C8" s="229"/>
    </row>
    <row r="9" spans="1:3" ht="13.5" customHeight="1" x14ac:dyDescent="0.2">
      <c r="A9" s="177"/>
      <c r="B9" s="121"/>
      <c r="C9" s="229"/>
    </row>
    <row r="10" spans="1:3" ht="13.5" customHeight="1" x14ac:dyDescent="0.2">
      <c r="A10" s="177"/>
      <c r="B10" s="121"/>
      <c r="C10" s="229"/>
    </row>
    <row r="11" spans="1:3" ht="13.5" customHeight="1" x14ac:dyDescent="0.2">
      <c r="A11" s="177"/>
      <c r="B11" s="121"/>
      <c r="C11" s="229"/>
    </row>
    <row r="12" spans="1:3" ht="13.5" customHeight="1" x14ac:dyDescent="0.2">
      <c r="A12" s="177"/>
      <c r="B12" s="121"/>
      <c r="C12" s="229"/>
    </row>
    <row r="13" spans="1:3" ht="13.5" customHeight="1" x14ac:dyDescent="0.2">
      <c r="A13" s="177"/>
      <c r="B13" s="121"/>
      <c r="C13" s="229"/>
    </row>
    <row r="14" spans="1:3" ht="13.5" customHeight="1" x14ac:dyDescent="0.2">
      <c r="A14" s="177"/>
      <c r="B14" s="121"/>
      <c r="C14" s="229"/>
    </row>
    <row r="15" spans="1:3" ht="13.5" customHeight="1" x14ac:dyDescent="0.2">
      <c r="A15" s="177"/>
      <c r="B15" s="121"/>
      <c r="C15" s="229"/>
    </row>
    <row r="16" spans="1:3" ht="13.5" customHeight="1" x14ac:dyDescent="0.2">
      <c r="A16" s="177"/>
      <c r="B16" s="121"/>
      <c r="C16" s="229"/>
    </row>
    <row r="17" spans="1:3" ht="13.5" customHeight="1" x14ac:dyDescent="0.2">
      <c r="A17" s="177"/>
      <c r="B17" s="121"/>
      <c r="C17" s="229"/>
    </row>
    <row r="18" spans="1:3" ht="13.5" customHeight="1" x14ac:dyDescent="0.2">
      <c r="A18" s="177"/>
      <c r="B18" s="121"/>
      <c r="C18" s="229"/>
    </row>
    <row r="19" spans="1:3" ht="13.5" customHeight="1" x14ac:dyDescent="0.2">
      <c r="A19" s="177"/>
      <c r="B19" s="121"/>
      <c r="C19" s="229"/>
    </row>
    <row r="20" spans="1:3" ht="13.5" customHeight="1" x14ac:dyDescent="0.2">
      <c r="A20" s="177"/>
      <c r="B20" s="121"/>
      <c r="C20" s="229"/>
    </row>
    <row r="21" spans="1:3" ht="13.5" customHeight="1" x14ac:dyDescent="0.2">
      <c r="A21" s="177"/>
      <c r="B21" s="121"/>
      <c r="C21" s="229"/>
    </row>
    <row r="22" spans="1:3" ht="13.5" customHeight="1" x14ac:dyDescent="0.2">
      <c r="A22" s="177"/>
      <c r="B22" s="121"/>
      <c r="C22" s="229"/>
    </row>
    <row r="23" spans="1:3" ht="13.5" customHeight="1" x14ac:dyDescent="0.2">
      <c r="A23" s="177"/>
      <c r="B23" s="121"/>
      <c r="C23" s="229"/>
    </row>
    <row r="24" spans="1:3" ht="13.5" customHeight="1" x14ac:dyDescent="0.2">
      <c r="A24" s="177"/>
      <c r="B24" s="121"/>
      <c r="C24" s="229"/>
    </row>
    <row r="25" spans="1:3" ht="13.5" customHeight="1" x14ac:dyDescent="0.2">
      <c r="A25" s="177"/>
      <c r="B25" s="121"/>
      <c r="C25" s="229"/>
    </row>
    <row r="26" spans="1:3" ht="13.5" customHeight="1" x14ac:dyDescent="0.2">
      <c r="A26" s="177"/>
      <c r="B26" s="121"/>
      <c r="C26" s="229"/>
    </row>
    <row r="27" spans="1:3" ht="13.5" customHeight="1" x14ac:dyDescent="0.2">
      <c r="A27" s="177"/>
      <c r="B27" s="121"/>
      <c r="C27" s="229"/>
    </row>
    <row r="28" spans="1:3" ht="13.5" customHeight="1" x14ac:dyDescent="0.2">
      <c r="A28" s="177"/>
      <c r="B28" s="121"/>
      <c r="C28" s="229"/>
    </row>
    <row r="29" spans="1:3" ht="13.5" customHeight="1" x14ac:dyDescent="0.2">
      <c r="A29" s="177"/>
      <c r="B29" s="121"/>
      <c r="C29" s="229"/>
    </row>
    <row r="30" spans="1:3" ht="13.5" customHeight="1" x14ac:dyDescent="0.2">
      <c r="A30" s="177"/>
      <c r="B30" s="121"/>
      <c r="C30" s="229"/>
    </row>
    <row r="31" spans="1:3" ht="13.5" customHeight="1" x14ac:dyDescent="0.2">
      <c r="A31" s="177"/>
      <c r="B31" s="121"/>
      <c r="C31" s="229"/>
    </row>
    <row r="32" spans="1:3" ht="13.5" customHeight="1" x14ac:dyDescent="0.2">
      <c r="A32" s="177"/>
      <c r="B32" s="252"/>
      <c r="C32" s="229"/>
    </row>
    <row r="33" spans="1:3" ht="13.5" customHeight="1" x14ac:dyDescent="0.2">
      <c r="A33" s="177"/>
      <c r="B33" s="122"/>
      <c r="C33" s="229"/>
    </row>
    <row r="34" spans="1:3" ht="13.5" customHeight="1" x14ac:dyDescent="0.2">
      <c r="A34" s="177"/>
      <c r="B34" s="121"/>
      <c r="C34" s="229"/>
    </row>
    <row r="35" spans="1:3" ht="13.5" customHeight="1" x14ac:dyDescent="0.2">
      <c r="A35" s="177"/>
      <c r="B35" s="121"/>
      <c r="C35" s="229"/>
    </row>
    <row r="36" spans="1:3" ht="13.5" customHeight="1" x14ac:dyDescent="0.2">
      <c r="A36" s="177"/>
      <c r="B36" s="121"/>
      <c r="C36" s="229"/>
    </row>
    <row r="37" spans="1:3" ht="13.5" customHeight="1" x14ac:dyDescent="0.2">
      <c r="A37" s="177"/>
      <c r="B37" s="121"/>
      <c r="C37" s="229"/>
    </row>
    <row r="38" spans="1:3" ht="13.5" customHeight="1" x14ac:dyDescent="0.2">
      <c r="A38" s="177"/>
      <c r="B38" s="121"/>
      <c r="C38" s="229"/>
    </row>
    <row r="39" spans="1:3" ht="13.5" customHeight="1" x14ac:dyDescent="0.2">
      <c r="A39" s="177"/>
      <c r="B39" s="121"/>
      <c r="C39" s="229"/>
    </row>
    <row r="40" spans="1:3" ht="13.5" customHeight="1" x14ac:dyDescent="0.2">
      <c r="A40" s="177"/>
      <c r="B40" s="121"/>
      <c r="C40" s="230"/>
    </row>
    <row r="41" spans="1:3" ht="13.5" customHeight="1" x14ac:dyDescent="0.2">
      <c r="A41" s="177"/>
      <c r="B41" s="121"/>
      <c r="C41" s="230"/>
    </row>
    <row r="42" spans="1:3" ht="13.5" customHeight="1" x14ac:dyDescent="0.2">
      <c r="A42" s="177"/>
      <c r="B42" s="121"/>
      <c r="C42" s="230"/>
    </row>
    <row r="43" spans="1:3" ht="13.5" customHeight="1" x14ac:dyDescent="0.2">
      <c r="A43" s="177"/>
      <c r="B43" s="121"/>
      <c r="C43" s="230"/>
    </row>
    <row r="44" spans="1:3" ht="13.5" customHeight="1" x14ac:dyDescent="0.2">
      <c r="A44" s="177"/>
      <c r="B44" s="252"/>
      <c r="C44" s="253"/>
    </row>
    <row r="45" spans="1:3" ht="13.5" customHeight="1" x14ac:dyDescent="0.2">
      <c r="A45" s="177"/>
      <c r="B45" s="121"/>
      <c r="C45" s="229"/>
    </row>
    <row r="46" spans="1:3" ht="13.5" customHeight="1" x14ac:dyDescent="0.2">
      <c r="B46" s="254"/>
    </row>
    <row r="49" spans="1:3" ht="13.5" customHeight="1" x14ac:dyDescent="0.2">
      <c r="C49" s="229"/>
    </row>
    <row r="52" spans="1:3" s="117" customFormat="1" ht="13.5" customHeight="1" x14ac:dyDescent="0.2">
      <c r="A52" s="179"/>
      <c r="B52" s="179"/>
      <c r="C52" s="251"/>
    </row>
    <row r="53" spans="1:3" ht="13.5" customHeight="1" x14ac:dyDescent="0.2">
      <c r="A53" s="177"/>
      <c r="B53" s="121"/>
      <c r="C53" s="229"/>
    </row>
    <row r="54" spans="1:3" ht="13.5" customHeight="1" x14ac:dyDescent="0.2">
      <c r="A54" s="177"/>
      <c r="B54" s="121"/>
      <c r="C54" s="229"/>
    </row>
    <row r="55" spans="1:3" ht="13.5" customHeight="1" x14ac:dyDescent="0.2">
      <c r="A55" s="177"/>
      <c r="B55" s="121"/>
      <c r="C55" s="229"/>
    </row>
    <row r="56" spans="1:3" ht="13.5" customHeight="1" x14ac:dyDescent="0.2">
      <c r="A56" s="177"/>
      <c r="B56" s="121"/>
      <c r="C56" s="229"/>
    </row>
    <row r="57" spans="1:3" ht="13.5" customHeight="1" x14ac:dyDescent="0.2">
      <c r="A57" s="177"/>
      <c r="B57" s="121"/>
      <c r="C57" s="229"/>
    </row>
    <row r="58" spans="1:3" ht="13.5" customHeight="1" x14ac:dyDescent="0.2">
      <c r="A58" s="177"/>
      <c r="B58" s="121"/>
      <c r="C58" s="229"/>
    </row>
    <row r="59" spans="1:3" ht="13.5" customHeight="1" x14ac:dyDescent="0.2">
      <c r="A59" s="177"/>
      <c r="B59" s="121"/>
      <c r="C59" s="229"/>
    </row>
    <row r="60" spans="1:3" ht="13.5" customHeight="1" x14ac:dyDescent="0.2">
      <c r="A60" s="177"/>
      <c r="B60" s="121"/>
      <c r="C60" s="229"/>
    </row>
    <row r="61" spans="1:3" ht="13.5" customHeight="1" x14ac:dyDescent="0.2">
      <c r="A61" s="177"/>
      <c r="B61" s="121"/>
      <c r="C61" s="229"/>
    </row>
    <row r="62" spans="1:3" ht="13.5" customHeight="1" x14ac:dyDescent="0.2">
      <c r="A62" s="177"/>
      <c r="B62" s="121"/>
      <c r="C62" s="229"/>
    </row>
    <row r="63" spans="1:3" ht="13.5" customHeight="1" x14ac:dyDescent="0.2">
      <c r="A63" s="177"/>
      <c r="B63" s="121"/>
      <c r="C63" s="229"/>
    </row>
    <row r="64" spans="1:3" ht="13.5" customHeight="1" x14ac:dyDescent="0.2">
      <c r="A64" s="177"/>
      <c r="B64" s="121"/>
      <c r="C64" s="229"/>
    </row>
    <row r="65" spans="1:3" ht="13.5" customHeight="1" x14ac:dyDescent="0.2">
      <c r="A65" s="177"/>
      <c r="B65" s="121"/>
      <c r="C65" s="229"/>
    </row>
    <row r="66" spans="1:3" ht="13.5" customHeight="1" x14ac:dyDescent="0.2">
      <c r="A66" s="177"/>
      <c r="B66" s="121"/>
      <c r="C66" s="229"/>
    </row>
    <row r="67" spans="1:3" ht="13.5" customHeight="1" x14ac:dyDescent="0.2">
      <c r="A67" s="177"/>
      <c r="B67" s="121"/>
      <c r="C67" s="229"/>
    </row>
    <row r="68" spans="1:3" ht="13.5" customHeight="1" x14ac:dyDescent="0.2">
      <c r="A68" s="177"/>
      <c r="B68" s="121"/>
      <c r="C68" s="229"/>
    </row>
    <row r="69" spans="1:3" ht="13.5" customHeight="1" x14ac:dyDescent="0.2">
      <c r="A69" s="177"/>
      <c r="B69" s="121"/>
      <c r="C69" s="229"/>
    </row>
    <row r="70" spans="1:3" ht="13.5" customHeight="1" x14ac:dyDescent="0.2">
      <c r="A70" s="177"/>
      <c r="B70" s="121"/>
      <c r="C70" s="229"/>
    </row>
    <row r="71" spans="1:3" ht="13.5" customHeight="1" x14ac:dyDescent="0.2">
      <c r="A71" s="177"/>
      <c r="B71" s="121"/>
      <c r="C71" s="229"/>
    </row>
    <row r="72" spans="1:3" ht="13.5" customHeight="1" x14ac:dyDescent="0.2">
      <c r="A72" s="177"/>
      <c r="B72" s="121"/>
      <c r="C72" s="229"/>
    </row>
    <row r="73" spans="1:3" ht="13.5" customHeight="1" x14ac:dyDescent="0.2">
      <c r="A73" s="177"/>
      <c r="B73" s="121"/>
      <c r="C73" s="229"/>
    </row>
    <row r="74" spans="1:3" ht="13.5" customHeight="1" x14ac:dyDescent="0.2">
      <c r="A74" s="177"/>
      <c r="B74" s="121"/>
      <c r="C74" s="229"/>
    </row>
    <row r="75" spans="1:3" ht="13.5" customHeight="1" x14ac:dyDescent="0.2">
      <c r="A75" s="177"/>
      <c r="B75" s="121"/>
      <c r="C75" s="229"/>
    </row>
    <row r="76" spans="1:3" ht="13.5" customHeight="1" x14ac:dyDescent="0.2">
      <c r="A76" s="177"/>
      <c r="B76" s="121"/>
      <c r="C76" s="229"/>
    </row>
    <row r="77" spans="1:3" ht="13.5" customHeight="1" x14ac:dyDescent="0.2">
      <c r="A77" s="177"/>
      <c r="B77" s="121"/>
      <c r="C77" s="229"/>
    </row>
    <row r="78" spans="1:3" ht="13.5" customHeight="1" x14ac:dyDescent="0.2">
      <c r="A78" s="177"/>
      <c r="B78" s="121"/>
      <c r="C78" s="229"/>
    </row>
    <row r="79" spans="1:3" ht="13.5" customHeight="1" x14ac:dyDescent="0.2">
      <c r="A79" s="177"/>
      <c r="B79" s="121"/>
      <c r="C79" s="229"/>
    </row>
    <row r="80" spans="1:3" ht="13.5" customHeight="1" x14ac:dyDescent="0.2">
      <c r="A80" s="177"/>
      <c r="B80" s="121"/>
      <c r="C80" s="229"/>
    </row>
    <row r="81" spans="1:3" ht="13.5" customHeight="1" x14ac:dyDescent="0.2">
      <c r="A81" s="177"/>
      <c r="B81" s="121"/>
      <c r="C81" s="229"/>
    </row>
    <row r="82" spans="1:3" ht="13.5" customHeight="1" x14ac:dyDescent="0.2">
      <c r="A82" s="177"/>
      <c r="B82" s="121"/>
      <c r="C82" s="229"/>
    </row>
    <row r="83" spans="1:3" ht="13.5" customHeight="1" x14ac:dyDescent="0.2">
      <c r="A83" s="177"/>
      <c r="B83" s="121"/>
      <c r="C83" s="229"/>
    </row>
    <row r="84" spans="1:3" ht="13.5" customHeight="1" x14ac:dyDescent="0.2">
      <c r="A84" s="177"/>
      <c r="B84" s="121"/>
      <c r="C84" s="229"/>
    </row>
    <row r="85" spans="1:3" ht="13.5" customHeight="1" x14ac:dyDescent="0.2">
      <c r="A85" s="177"/>
      <c r="B85" s="121"/>
      <c r="C85" s="229"/>
    </row>
    <row r="86" spans="1:3" ht="13.5" customHeight="1" x14ac:dyDescent="0.2">
      <c r="A86" s="177"/>
      <c r="B86" s="121"/>
      <c r="C86" s="229"/>
    </row>
    <row r="87" spans="1:3" ht="13.5" customHeight="1" x14ac:dyDescent="0.2">
      <c r="A87" s="177"/>
      <c r="B87" s="121"/>
      <c r="C87" s="229"/>
    </row>
    <row r="88" spans="1:3" ht="13.5" customHeight="1" x14ac:dyDescent="0.2">
      <c r="A88" s="177"/>
      <c r="B88" s="121"/>
      <c r="C88" s="229"/>
    </row>
    <row r="89" spans="1:3" ht="13.5" customHeight="1" x14ac:dyDescent="0.2">
      <c r="A89" s="177"/>
      <c r="B89" s="121"/>
      <c r="C89" s="229"/>
    </row>
    <row r="90" spans="1:3" ht="13.5" customHeight="1" x14ac:dyDescent="0.2">
      <c r="A90" s="177"/>
      <c r="B90" s="121"/>
      <c r="C90" s="229"/>
    </row>
    <row r="91" spans="1:3" ht="13.5" customHeight="1" x14ac:dyDescent="0.2">
      <c r="A91" s="177"/>
      <c r="B91" s="121"/>
      <c r="C91" s="229"/>
    </row>
    <row r="92" spans="1:3" ht="13.5" customHeight="1" x14ac:dyDescent="0.2">
      <c r="A92" s="177"/>
      <c r="B92" s="121"/>
      <c r="C92" s="229"/>
    </row>
    <row r="93" spans="1:3" ht="13.5" customHeight="1" x14ac:dyDescent="0.2">
      <c r="A93" s="177"/>
      <c r="B93" s="122"/>
      <c r="C93" s="229"/>
    </row>
    <row r="94" spans="1:3" ht="13.5" customHeight="1" x14ac:dyDescent="0.2">
      <c r="A94" s="177"/>
      <c r="B94" s="121"/>
      <c r="C94" s="229"/>
    </row>
    <row r="95" spans="1:3" ht="13.5" customHeight="1" x14ac:dyDescent="0.2">
      <c r="A95" s="179"/>
      <c r="B95" s="180"/>
      <c r="C95" s="255"/>
    </row>
    <row r="96" spans="1:3" s="117" customFormat="1" ht="13.5" customHeight="1" x14ac:dyDescent="0.2">
      <c r="A96" s="179"/>
      <c r="B96" s="254"/>
      <c r="C96" s="231"/>
    </row>
    <row r="97" spans="1:3" s="117" customFormat="1" ht="13.5" customHeight="1" x14ac:dyDescent="0.2">
      <c r="A97" s="179"/>
      <c r="B97" s="178"/>
      <c r="C97" s="231"/>
    </row>
    <row r="98" spans="1:3" ht="13.5" customHeight="1" x14ac:dyDescent="0.2">
      <c r="A98" s="179"/>
    </row>
    <row r="99" spans="1:3" s="117" customFormat="1" ht="13.5" customHeight="1" x14ac:dyDescent="0.2">
      <c r="A99" s="179"/>
      <c r="B99" s="254"/>
      <c r="C99" s="231"/>
    </row>
    <row r="100" spans="1:3" ht="13.5" customHeight="1" x14ac:dyDescent="0.2">
      <c r="C100" s="229"/>
    </row>
    <row r="101" spans="1:3" ht="13.5" customHeight="1" x14ac:dyDescent="0.2">
      <c r="A101" s="179"/>
      <c r="C101" s="229"/>
    </row>
    <row r="102" spans="1:3" ht="13.5" customHeight="1" x14ac:dyDescent="0.2">
      <c r="A102" s="179"/>
      <c r="C102" s="229"/>
    </row>
    <row r="103" spans="1:3" ht="13.5" customHeight="1" x14ac:dyDescent="0.2">
      <c r="A103" s="179"/>
      <c r="B103" s="179"/>
      <c r="C103" s="229"/>
    </row>
    <row r="104" spans="1:3" ht="13.5" customHeight="1" x14ac:dyDescent="0.2">
      <c r="A104" s="179"/>
      <c r="C104" s="229"/>
    </row>
    <row r="105" spans="1:3" ht="13.5" customHeight="1" x14ac:dyDescent="0.2">
      <c r="A105" s="179"/>
      <c r="C105" s="229"/>
    </row>
    <row r="106" spans="1:3" ht="13.5" customHeight="1" x14ac:dyDescent="0.2">
      <c r="B106" s="179"/>
      <c r="C106" s="229"/>
    </row>
    <row r="107" spans="1:3" ht="13.5" customHeight="1" x14ac:dyDescent="0.2">
      <c r="C107" s="229"/>
    </row>
    <row r="108" spans="1:3" ht="13.5" customHeight="1" x14ac:dyDescent="0.2">
      <c r="C108" s="229"/>
    </row>
    <row r="109" spans="1:3" ht="13.5" customHeight="1" x14ac:dyDescent="0.2">
      <c r="C109" s="248"/>
    </row>
    <row r="110" spans="1:3" ht="13.5" customHeight="1" x14ac:dyDescent="0.2">
      <c r="C110" s="229"/>
    </row>
    <row r="111" spans="1:3" ht="13.5" customHeight="1" x14ac:dyDescent="0.2">
      <c r="C111" s="229"/>
    </row>
    <row r="112" spans="1:3" ht="13.5" customHeight="1" x14ac:dyDescent="0.2">
      <c r="C112" s="229"/>
    </row>
    <row r="113" spans="3:3" ht="13.5" customHeight="1" x14ac:dyDescent="0.2">
      <c r="C113" s="229"/>
    </row>
    <row r="114" spans="3:3" ht="13.5" customHeight="1" x14ac:dyDescent="0.2">
      <c r="C114" s="229"/>
    </row>
    <row r="115" spans="3:3" ht="13.5" customHeight="1" x14ac:dyDescent="0.2">
      <c r="C115" s="229"/>
    </row>
    <row r="116" spans="3:3" ht="13.5" customHeight="1" x14ac:dyDescent="0.2">
      <c r="C116" s="229"/>
    </row>
    <row r="117" spans="3:3" ht="13.5" customHeight="1" x14ac:dyDescent="0.2">
      <c r="C117" s="229"/>
    </row>
    <row r="118" spans="3:3" ht="13.5" customHeight="1" x14ac:dyDescent="0.2">
      <c r="C118" s="229"/>
    </row>
    <row r="119" spans="3:3" ht="13.5" customHeight="1" x14ac:dyDescent="0.2">
      <c r="C119" s="229"/>
    </row>
    <row r="120" spans="3:3" ht="13.5" customHeight="1" x14ac:dyDescent="0.2">
      <c r="C120" s="229"/>
    </row>
    <row r="121" spans="3:3" ht="13.5" customHeight="1" x14ac:dyDescent="0.2">
      <c r="C121" s="229"/>
    </row>
    <row r="122" spans="3:3" ht="13.5" customHeight="1" x14ac:dyDescent="0.2">
      <c r="C122" s="229"/>
    </row>
    <row r="123" spans="3:3" ht="13.5" customHeight="1" x14ac:dyDescent="0.2">
      <c r="C123" s="229"/>
    </row>
    <row r="124" spans="3:3" ht="13.5" customHeight="1" x14ac:dyDescent="0.2">
      <c r="C124" s="229"/>
    </row>
    <row r="125" spans="3:3" ht="13.5" customHeight="1" x14ac:dyDescent="0.2">
      <c r="C125" s="229"/>
    </row>
    <row r="126" spans="3:3" ht="13.5" customHeight="1" x14ac:dyDescent="0.2">
      <c r="C126" s="229"/>
    </row>
    <row r="127" spans="3:3" ht="13.5" customHeight="1" x14ac:dyDescent="0.2">
      <c r="C127" s="229"/>
    </row>
    <row r="128" spans="3:3" ht="13.5" customHeight="1" x14ac:dyDescent="0.2">
      <c r="C128" s="229"/>
    </row>
    <row r="129" spans="3:3" ht="13.5" customHeight="1" x14ac:dyDescent="0.2">
      <c r="C129" s="229"/>
    </row>
    <row r="130" spans="3:3" ht="13.5" customHeight="1" x14ac:dyDescent="0.2">
      <c r="C130" s="229"/>
    </row>
    <row r="131" spans="3:3" ht="13.5" customHeight="1" x14ac:dyDescent="0.2">
      <c r="C131" s="229"/>
    </row>
    <row r="132" spans="3:3" ht="13.5" customHeight="1" x14ac:dyDescent="0.2">
      <c r="C132" s="229"/>
    </row>
    <row r="133" spans="3:3" ht="13.5" customHeight="1" x14ac:dyDescent="0.2">
      <c r="C133" s="229"/>
    </row>
    <row r="134" spans="3:3" ht="13.5" customHeight="1" x14ac:dyDescent="0.2">
      <c r="C134" s="229"/>
    </row>
    <row r="135" spans="3:3" ht="13.5" customHeight="1" x14ac:dyDescent="0.2">
      <c r="C135" s="229"/>
    </row>
    <row r="136" spans="3:3" ht="13.5" customHeight="1" x14ac:dyDescent="0.2">
      <c r="C136" s="229"/>
    </row>
    <row r="137" spans="3:3" ht="13.5" customHeight="1" x14ac:dyDescent="0.2">
      <c r="C137" s="229"/>
    </row>
    <row r="138" spans="3:3" ht="13.5" customHeight="1" x14ac:dyDescent="0.2">
      <c r="C138" s="229"/>
    </row>
    <row r="139" spans="3:3" ht="13.5" customHeight="1" x14ac:dyDescent="0.2">
      <c r="C139" s="229"/>
    </row>
    <row r="140" spans="3:3" ht="13.5" customHeight="1" x14ac:dyDescent="0.2">
      <c r="C140" s="229"/>
    </row>
    <row r="141" spans="3:3" ht="13.5" customHeight="1" x14ac:dyDescent="0.2">
      <c r="C141" s="229"/>
    </row>
    <row r="142" spans="3:3" ht="13.5" customHeight="1" x14ac:dyDescent="0.2">
      <c r="C142" s="229"/>
    </row>
    <row r="143" spans="3:3" ht="13.5" customHeight="1" x14ac:dyDescent="0.2">
      <c r="C143" s="229"/>
    </row>
    <row r="144" spans="3:3" ht="13.5" customHeight="1" x14ac:dyDescent="0.2">
      <c r="C144" s="229"/>
    </row>
    <row r="145" spans="3:3" ht="13.5" customHeight="1" x14ac:dyDescent="0.2">
      <c r="C145" s="229"/>
    </row>
    <row r="146" spans="3:3" ht="13.5" customHeight="1" x14ac:dyDescent="0.2">
      <c r="C146" s="229"/>
    </row>
  </sheetData>
  <sortState xmlns:xlrd2="http://schemas.microsoft.com/office/spreadsheetml/2017/richdata2" ref="B54:C91">
    <sortCondition ref="B54:B91"/>
  </sortState>
  <mergeCells count="3">
    <mergeCell ref="A1:C1"/>
    <mergeCell ref="A2:C2"/>
    <mergeCell ref="A3:C3"/>
  </mergeCells>
  <phoneticPr fontId="0" type="noConversion"/>
  <pageMargins left="1" right="0.75" top="0.5" bottom="0" header="0.5" footer="0.5"/>
  <pageSetup orientation="portrait" r:id="rId1"/>
  <headerFooter alignWithMargins="0"/>
  <rowBreaks count="1" manualBreakCount="1">
    <brk id="4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6"/>
  <sheetViews>
    <sheetView workbookViewId="0">
      <selection activeCell="B11" sqref="B11"/>
    </sheetView>
  </sheetViews>
  <sheetFormatPr defaultRowHeight="11.45" customHeight="1" x14ac:dyDescent="0.2"/>
  <cols>
    <col min="1" max="1" width="9.7109375" style="127" customWidth="1"/>
    <col min="2" max="2" width="58.140625" style="127" customWidth="1"/>
    <col min="3" max="3" width="21.28515625" style="140" customWidth="1"/>
    <col min="4" max="4" width="14.85546875" style="127" hidden="1" customWidth="1"/>
    <col min="5" max="5" width="10.42578125" style="127" hidden="1" customWidth="1"/>
    <col min="6" max="6" width="10.140625" style="127" hidden="1" customWidth="1"/>
    <col min="7" max="7" width="14.85546875" style="127" hidden="1" customWidth="1"/>
    <col min="8" max="13" width="0" style="127" hidden="1" customWidth="1"/>
    <col min="14" max="14" width="9.140625" style="127"/>
    <col min="15" max="15" width="18.7109375" style="127" customWidth="1"/>
    <col min="16" max="16384" width="9.140625" style="127"/>
  </cols>
  <sheetData>
    <row r="1" spans="1:18" ht="11.45" customHeight="1" thickBot="1" x14ac:dyDescent="0.25">
      <c r="A1" s="232"/>
      <c r="B1" s="233"/>
      <c r="C1" s="234"/>
    </row>
    <row r="2" spans="1:18" s="131" customFormat="1" ht="11.45" customHeight="1" thickBot="1" x14ac:dyDescent="0.25">
      <c r="A2" s="128" t="s">
        <v>77</v>
      </c>
      <c r="B2" s="129"/>
      <c r="C2" s="130" t="s">
        <v>209</v>
      </c>
    </row>
    <row r="3" spans="1:18" ht="11.45" customHeight="1" x14ac:dyDescent="0.2">
      <c r="A3" s="163" t="s">
        <v>78</v>
      </c>
      <c r="B3" s="164" t="s">
        <v>79</v>
      </c>
      <c r="C3" s="165" t="s">
        <v>76</v>
      </c>
    </row>
    <row r="4" spans="1:18" ht="11.45" customHeight="1" x14ac:dyDescent="0.2">
      <c r="A4" s="152">
        <v>1</v>
      </c>
      <c r="B4" s="159" t="s">
        <v>188</v>
      </c>
      <c r="C4" s="162">
        <v>29.1</v>
      </c>
      <c r="D4" s="132"/>
    </row>
    <row r="5" spans="1:18" ht="11.45" customHeight="1" x14ac:dyDescent="0.2">
      <c r="A5" s="123">
        <v>2</v>
      </c>
      <c r="B5" s="159" t="s">
        <v>163</v>
      </c>
      <c r="C5" s="162">
        <f>29.601+0.434</f>
        <v>30.035</v>
      </c>
      <c r="D5" s="132"/>
    </row>
    <row r="6" spans="1:18" ht="11.45" customHeight="1" x14ac:dyDescent="0.2">
      <c r="A6" s="123">
        <v>3</v>
      </c>
      <c r="B6" s="159" t="s">
        <v>165</v>
      </c>
      <c r="C6" s="162">
        <v>50</v>
      </c>
      <c r="D6" s="132"/>
    </row>
    <row r="7" spans="1:18" ht="11.45" customHeight="1" x14ac:dyDescent="0.2">
      <c r="A7" s="123">
        <v>4</v>
      </c>
      <c r="B7" s="159" t="s">
        <v>184</v>
      </c>
      <c r="C7" s="162">
        <v>100</v>
      </c>
      <c r="D7" s="132"/>
    </row>
    <row r="8" spans="1:18" ht="11.45" customHeight="1" x14ac:dyDescent="0.2">
      <c r="A8" s="123">
        <v>5</v>
      </c>
      <c r="B8" s="159" t="s">
        <v>158</v>
      </c>
      <c r="C8" s="162">
        <v>100.05</v>
      </c>
      <c r="D8" s="132"/>
    </row>
    <row r="9" spans="1:18" ht="11.45" customHeight="1" x14ac:dyDescent="0.2">
      <c r="A9" s="123">
        <v>6</v>
      </c>
      <c r="B9" s="159" t="s">
        <v>160</v>
      </c>
      <c r="C9" s="162">
        <v>207</v>
      </c>
      <c r="D9" s="132"/>
    </row>
    <row r="10" spans="1:18" ht="11.45" customHeight="1" x14ac:dyDescent="0.2">
      <c r="A10" s="123">
        <v>7</v>
      </c>
      <c r="B10" s="159" t="s">
        <v>172</v>
      </c>
      <c r="C10" s="162">
        <v>217.09200000000001</v>
      </c>
      <c r="D10" s="132"/>
    </row>
    <row r="11" spans="1:18" ht="18" customHeight="1" x14ac:dyDescent="0.35">
      <c r="A11" s="123">
        <v>8</v>
      </c>
      <c r="B11" s="159" t="s">
        <v>129</v>
      </c>
      <c r="C11" s="162">
        <v>267.39999999999998</v>
      </c>
      <c r="D11" s="132"/>
      <c r="Q11" s="168" t="s">
        <v>607</v>
      </c>
      <c r="R11" s="169"/>
    </row>
    <row r="12" spans="1:18" ht="11.45" customHeight="1" x14ac:dyDescent="0.2">
      <c r="A12" s="123">
        <v>9</v>
      </c>
      <c r="B12" s="159" t="s">
        <v>151</v>
      </c>
      <c r="C12" s="162">
        <v>307.14600000000002</v>
      </c>
      <c r="D12" s="132"/>
    </row>
    <row r="13" spans="1:18" ht="11.45" customHeight="1" x14ac:dyDescent="0.2">
      <c r="A13" s="123">
        <v>10</v>
      </c>
      <c r="B13" s="159" t="s">
        <v>156</v>
      </c>
      <c r="C13" s="162">
        <v>370</v>
      </c>
      <c r="D13" s="132"/>
    </row>
    <row r="14" spans="1:18" ht="11.45" customHeight="1" x14ac:dyDescent="0.2">
      <c r="A14" s="123">
        <v>11</v>
      </c>
      <c r="B14" s="159" t="s">
        <v>171</v>
      </c>
      <c r="C14" s="162">
        <v>370</v>
      </c>
      <c r="D14" s="132"/>
    </row>
    <row r="15" spans="1:18" ht="11.45" customHeight="1" x14ac:dyDescent="0.2">
      <c r="A15" s="123">
        <v>12</v>
      </c>
      <c r="B15" s="159" t="s">
        <v>207</v>
      </c>
      <c r="C15" s="162">
        <v>378</v>
      </c>
      <c r="D15" s="132"/>
    </row>
    <row r="16" spans="1:18" ht="11.45" customHeight="1" x14ac:dyDescent="0.2">
      <c r="A16" s="123">
        <v>13</v>
      </c>
      <c r="B16" s="159" t="s">
        <v>191</v>
      </c>
      <c r="C16" s="162">
        <v>401</v>
      </c>
      <c r="D16" s="132"/>
    </row>
    <row r="17" spans="1:4" ht="11.45" customHeight="1" x14ac:dyDescent="0.2">
      <c r="A17" s="123">
        <v>14</v>
      </c>
      <c r="B17" s="159" t="s">
        <v>173</v>
      </c>
      <c r="C17" s="162">
        <v>404.55500000000001</v>
      </c>
      <c r="D17" s="132"/>
    </row>
    <row r="18" spans="1:4" ht="11.45" customHeight="1" x14ac:dyDescent="0.2">
      <c r="A18" s="123">
        <v>15</v>
      </c>
      <c r="B18" s="159" t="s">
        <v>155</v>
      </c>
      <c r="C18" s="162">
        <v>415.99</v>
      </c>
      <c r="D18" s="132"/>
    </row>
    <row r="19" spans="1:4" ht="11.45" customHeight="1" x14ac:dyDescent="0.2">
      <c r="A19" s="123">
        <v>16</v>
      </c>
      <c r="B19" s="159" t="s">
        <v>181</v>
      </c>
      <c r="C19" s="162">
        <v>445.42</v>
      </c>
      <c r="D19" s="132"/>
    </row>
    <row r="20" spans="1:4" ht="11.45" customHeight="1" x14ac:dyDescent="0.2">
      <c r="A20" s="123">
        <v>17</v>
      </c>
      <c r="B20" s="159" t="s">
        <v>178</v>
      </c>
      <c r="C20" s="162">
        <v>467.26499999999999</v>
      </c>
      <c r="D20" s="132"/>
    </row>
    <row r="21" spans="1:4" ht="11.45" customHeight="1" x14ac:dyDescent="0.2">
      <c r="A21" s="123">
        <v>18</v>
      </c>
      <c r="B21" s="159" t="s">
        <v>168</v>
      </c>
      <c r="C21" s="162">
        <v>495</v>
      </c>
      <c r="D21" s="132"/>
    </row>
    <row r="22" spans="1:4" ht="11.45" customHeight="1" x14ac:dyDescent="0.2">
      <c r="A22" s="123">
        <v>19</v>
      </c>
      <c r="B22" s="159" t="s">
        <v>180</v>
      </c>
      <c r="C22" s="162">
        <v>812</v>
      </c>
      <c r="D22" s="132"/>
    </row>
    <row r="23" spans="1:4" ht="11.45" customHeight="1" x14ac:dyDescent="0.2">
      <c r="A23" s="123">
        <v>20</v>
      </c>
      <c r="B23" s="159" t="s">
        <v>94</v>
      </c>
      <c r="C23" s="162">
        <v>845.41099999999994</v>
      </c>
      <c r="D23" s="132"/>
    </row>
    <row r="24" spans="1:4" ht="11.45" customHeight="1" x14ac:dyDescent="0.2">
      <c r="A24" s="123">
        <v>21</v>
      </c>
      <c r="B24" s="159" t="s">
        <v>128</v>
      </c>
      <c r="C24" s="162">
        <v>900.57</v>
      </c>
      <c r="D24" s="132"/>
    </row>
    <row r="25" spans="1:4" ht="11.45" customHeight="1" x14ac:dyDescent="0.2">
      <c r="A25" s="123">
        <v>22</v>
      </c>
      <c r="B25" s="159" t="s">
        <v>144</v>
      </c>
      <c r="C25" s="162">
        <v>1000</v>
      </c>
      <c r="D25" s="132"/>
    </row>
    <row r="26" spans="1:4" ht="11.45" customHeight="1" x14ac:dyDescent="0.2">
      <c r="A26" s="123">
        <v>23</v>
      </c>
      <c r="B26" s="159" t="s">
        <v>169</v>
      </c>
      <c r="C26" s="162">
        <v>1362.5</v>
      </c>
      <c r="D26" s="132"/>
    </row>
    <row r="27" spans="1:4" ht="11.45" customHeight="1" x14ac:dyDescent="0.2">
      <c r="A27" s="123">
        <v>24</v>
      </c>
      <c r="B27" s="159" t="s">
        <v>159</v>
      </c>
      <c r="C27" s="162">
        <v>1845.3</v>
      </c>
      <c r="D27" s="132"/>
    </row>
    <row r="28" spans="1:4" ht="11.45" customHeight="1" x14ac:dyDescent="0.2">
      <c r="A28" s="123">
        <v>25</v>
      </c>
      <c r="B28" s="159" t="s">
        <v>166</v>
      </c>
      <c r="C28" s="162">
        <v>1982.5</v>
      </c>
      <c r="D28" s="132"/>
    </row>
    <row r="29" spans="1:4" ht="11.45" customHeight="1" x14ac:dyDescent="0.2">
      <c r="A29" s="123">
        <v>26</v>
      </c>
      <c r="B29" s="159" t="s">
        <v>179</v>
      </c>
      <c r="C29" s="162">
        <v>2500</v>
      </c>
      <c r="D29" s="132"/>
    </row>
    <row r="30" spans="1:4" ht="11.45" customHeight="1" x14ac:dyDescent="0.2">
      <c r="A30" s="123">
        <v>27</v>
      </c>
      <c r="B30" s="159" t="s">
        <v>81</v>
      </c>
      <c r="C30" s="162">
        <v>2568.0929999999998</v>
      </c>
      <c r="D30" s="132"/>
    </row>
    <row r="31" spans="1:4" ht="11.45" customHeight="1" x14ac:dyDescent="0.2">
      <c r="A31" s="123">
        <v>28</v>
      </c>
      <c r="B31" s="159" t="s">
        <v>162</v>
      </c>
      <c r="C31" s="162">
        <v>2700</v>
      </c>
      <c r="D31" s="132"/>
    </row>
    <row r="32" spans="1:4" ht="11.45" customHeight="1" x14ac:dyDescent="0.2">
      <c r="A32" s="123">
        <v>29</v>
      </c>
      <c r="B32" s="159" t="s">
        <v>167</v>
      </c>
      <c r="C32" s="162">
        <v>3398.9119999999998</v>
      </c>
      <c r="D32" s="132"/>
    </row>
    <row r="33" spans="1:4" ht="11.45" customHeight="1" x14ac:dyDescent="0.2">
      <c r="A33" s="123">
        <v>30</v>
      </c>
      <c r="B33" s="159" t="s">
        <v>189</v>
      </c>
      <c r="C33" s="162">
        <v>3405.9580000000001</v>
      </c>
      <c r="D33" s="132"/>
    </row>
    <row r="34" spans="1:4" ht="11.45" customHeight="1" x14ac:dyDescent="0.2">
      <c r="A34" s="123">
        <v>31</v>
      </c>
      <c r="B34" s="159" t="s">
        <v>176</v>
      </c>
      <c r="C34" s="162">
        <v>3885</v>
      </c>
      <c r="D34" s="132"/>
    </row>
    <row r="35" spans="1:4" ht="11.45" customHeight="1" x14ac:dyDescent="0.2">
      <c r="A35" s="123">
        <v>32</v>
      </c>
      <c r="B35" s="159" t="s">
        <v>186</v>
      </c>
      <c r="C35" s="162">
        <v>3964</v>
      </c>
      <c r="D35" s="132"/>
    </row>
    <row r="36" spans="1:4" ht="11.45" customHeight="1" x14ac:dyDescent="0.2">
      <c r="A36" s="123">
        <v>33</v>
      </c>
      <c r="B36" s="159" t="s">
        <v>170</v>
      </c>
      <c r="C36" s="162">
        <v>4812.2569999999996</v>
      </c>
      <c r="D36" s="132"/>
    </row>
    <row r="37" spans="1:4" ht="11.45" customHeight="1" x14ac:dyDescent="0.2">
      <c r="A37" s="123">
        <v>34</v>
      </c>
      <c r="B37" s="159" t="s">
        <v>177</v>
      </c>
      <c r="C37" s="162">
        <v>5081.34</v>
      </c>
      <c r="D37" s="132"/>
    </row>
    <row r="38" spans="1:4" ht="11.45" customHeight="1" x14ac:dyDescent="0.2">
      <c r="A38" s="123">
        <v>35</v>
      </c>
      <c r="B38" s="159" t="s">
        <v>190</v>
      </c>
      <c r="C38" s="162">
        <v>5260.5</v>
      </c>
      <c r="D38" s="132"/>
    </row>
    <row r="39" spans="1:4" ht="11.45" customHeight="1" x14ac:dyDescent="0.2">
      <c r="A39" s="123">
        <v>36</v>
      </c>
      <c r="B39" s="159" t="s">
        <v>121</v>
      </c>
      <c r="C39" s="162">
        <v>5306.6019999999999</v>
      </c>
      <c r="D39" s="132"/>
    </row>
    <row r="40" spans="1:4" ht="11.45" customHeight="1" x14ac:dyDescent="0.2">
      <c r="A40" s="123">
        <v>37</v>
      </c>
      <c r="B40" s="159" t="s">
        <v>161</v>
      </c>
      <c r="C40" s="162">
        <v>5653.357</v>
      </c>
      <c r="D40" s="132"/>
    </row>
    <row r="41" spans="1:4" ht="11.45" customHeight="1" x14ac:dyDescent="0.2">
      <c r="A41" s="123">
        <v>38</v>
      </c>
      <c r="B41" s="159" t="s">
        <v>193</v>
      </c>
      <c r="C41" s="162">
        <v>7100</v>
      </c>
      <c r="D41" s="132"/>
    </row>
    <row r="42" spans="1:4" ht="11.45" customHeight="1" x14ac:dyDescent="0.2">
      <c r="A42" s="123">
        <v>39</v>
      </c>
      <c r="B42" s="159" t="s">
        <v>147</v>
      </c>
      <c r="C42" s="162">
        <v>8109.7169999999996</v>
      </c>
      <c r="D42" s="132"/>
    </row>
    <row r="43" spans="1:4" ht="11.45" customHeight="1" x14ac:dyDescent="0.2">
      <c r="A43" s="123">
        <v>40</v>
      </c>
      <c r="B43" s="159" t="s">
        <v>194</v>
      </c>
      <c r="C43" s="162">
        <v>8456.4850000000006</v>
      </c>
      <c r="D43" s="132"/>
    </row>
    <row r="44" spans="1:4" ht="11.45" customHeight="1" x14ac:dyDescent="0.2">
      <c r="A44" s="123">
        <v>41</v>
      </c>
      <c r="B44" s="159" t="s">
        <v>208</v>
      </c>
      <c r="C44" s="162">
        <v>8526.9410000000007</v>
      </c>
      <c r="D44" s="132"/>
    </row>
    <row r="45" spans="1:4" ht="11.45" customHeight="1" x14ac:dyDescent="0.2">
      <c r="A45" s="123">
        <v>42</v>
      </c>
      <c r="B45" s="159" t="s">
        <v>157</v>
      </c>
      <c r="C45" s="162">
        <v>8672.7999999999993</v>
      </c>
      <c r="D45" s="132"/>
    </row>
    <row r="46" spans="1:4" ht="11.45" customHeight="1" x14ac:dyDescent="0.2">
      <c r="A46" s="123">
        <v>43</v>
      </c>
      <c r="B46" s="159" t="s">
        <v>182</v>
      </c>
      <c r="C46" s="162">
        <v>12196.695</v>
      </c>
      <c r="D46" s="132"/>
    </row>
    <row r="47" spans="1:4" ht="11.45" customHeight="1" x14ac:dyDescent="0.2">
      <c r="A47" s="123">
        <v>44</v>
      </c>
      <c r="B47" s="159" t="s">
        <v>139</v>
      </c>
      <c r="C47" s="162">
        <v>12389.03</v>
      </c>
      <c r="D47" s="132"/>
    </row>
    <row r="48" spans="1:4" ht="11.45" customHeight="1" x14ac:dyDescent="0.2">
      <c r="A48" s="123">
        <v>45</v>
      </c>
      <c r="B48" s="159" t="s">
        <v>185</v>
      </c>
      <c r="C48" s="162">
        <v>13702.5</v>
      </c>
      <c r="D48" s="132"/>
    </row>
    <row r="49" spans="1:15" ht="11.45" customHeight="1" x14ac:dyDescent="0.2">
      <c r="A49" s="123">
        <v>46</v>
      </c>
      <c r="B49" s="159" t="s">
        <v>146</v>
      </c>
      <c r="C49" s="162">
        <v>14737.441999999999</v>
      </c>
      <c r="D49" s="132"/>
    </row>
    <row r="50" spans="1:15" ht="11.45" customHeight="1" x14ac:dyDescent="0.2">
      <c r="A50" s="123">
        <v>47</v>
      </c>
      <c r="B50" s="159" t="s">
        <v>164</v>
      </c>
      <c r="C50" s="162">
        <v>19943.53</v>
      </c>
      <c r="D50" s="132"/>
    </row>
    <row r="51" spans="1:15" ht="11.45" customHeight="1" x14ac:dyDescent="0.2">
      <c r="A51" s="123">
        <v>48</v>
      </c>
      <c r="B51" s="159" t="s">
        <v>122</v>
      </c>
      <c r="C51" s="162">
        <v>32900.375</v>
      </c>
      <c r="D51" s="132"/>
    </row>
    <row r="52" spans="1:15" ht="11.45" customHeight="1" x14ac:dyDescent="0.2">
      <c r="A52" s="123">
        <v>49</v>
      </c>
      <c r="B52" s="159" t="s">
        <v>192</v>
      </c>
      <c r="C52" s="162">
        <v>45843.788</v>
      </c>
      <c r="D52" s="132"/>
    </row>
    <row r="53" spans="1:15" ht="11.45" customHeight="1" x14ac:dyDescent="0.2">
      <c r="A53" s="123">
        <v>50</v>
      </c>
      <c r="B53" s="159" t="s">
        <v>97</v>
      </c>
      <c r="C53" s="162">
        <v>47989.072999999997</v>
      </c>
      <c r="D53" s="132"/>
    </row>
    <row r="54" spans="1:15" ht="11.45" customHeight="1" x14ac:dyDescent="0.2">
      <c r="A54" s="123">
        <v>51</v>
      </c>
      <c r="B54" s="159" t="s">
        <v>145</v>
      </c>
      <c r="C54" s="162">
        <v>51831.91</v>
      </c>
      <c r="D54" s="132"/>
    </row>
    <row r="55" spans="1:15" ht="11.45" customHeight="1" x14ac:dyDescent="0.2">
      <c r="A55" s="123">
        <v>52</v>
      </c>
      <c r="B55" s="159" t="s">
        <v>187</v>
      </c>
      <c r="C55" s="162">
        <v>77000</v>
      </c>
      <c r="D55" s="132"/>
    </row>
    <row r="56" spans="1:15" ht="11.45" customHeight="1" x14ac:dyDescent="0.2">
      <c r="A56" s="123">
        <v>53</v>
      </c>
      <c r="B56" s="161" t="s">
        <v>183</v>
      </c>
      <c r="C56" s="166">
        <v>97760</v>
      </c>
      <c r="D56" s="132"/>
    </row>
    <row r="57" spans="1:15" ht="11.45" customHeight="1" x14ac:dyDescent="0.2">
      <c r="A57" s="123">
        <v>54</v>
      </c>
      <c r="B57" s="159" t="s">
        <v>169</v>
      </c>
      <c r="C57" s="160">
        <v>1362.5</v>
      </c>
      <c r="D57" s="132"/>
    </row>
    <row r="58" spans="1:15" ht="11.45" customHeight="1" x14ac:dyDescent="0.2">
      <c r="A58" s="123"/>
      <c r="B58" s="121"/>
      <c r="C58" s="124"/>
      <c r="D58" s="132"/>
    </row>
    <row r="59" spans="1:15" ht="11.45" customHeight="1" thickBot="1" x14ac:dyDescent="0.25">
      <c r="A59" s="147"/>
      <c r="B59" s="148"/>
      <c r="C59" s="149">
        <f>SUM(C4:C58)</f>
        <v>530862.13899999997</v>
      </c>
      <c r="D59" s="132"/>
      <c r="O59" s="132"/>
    </row>
    <row r="60" spans="1:15" ht="11.45" customHeight="1" x14ac:dyDescent="0.2">
      <c r="A60" s="144"/>
      <c r="B60" s="150" t="s">
        <v>108</v>
      </c>
      <c r="C60" s="151"/>
      <c r="D60" s="132"/>
    </row>
    <row r="61" spans="1:15" ht="11.45" hidden="1" customHeight="1" x14ac:dyDescent="0.2">
      <c r="A61" s="123">
        <v>1</v>
      </c>
      <c r="B61" s="121" t="s">
        <v>90</v>
      </c>
      <c r="C61" s="158"/>
      <c r="D61" s="132"/>
    </row>
    <row r="62" spans="1:15" ht="11.45" hidden="1" customHeight="1" x14ac:dyDescent="0.2">
      <c r="A62" s="123">
        <v>2</v>
      </c>
      <c r="B62" s="121" t="s">
        <v>80</v>
      </c>
      <c r="C62" s="158"/>
      <c r="D62" s="132"/>
    </row>
    <row r="63" spans="1:15" ht="11.45" hidden="1" customHeight="1" x14ac:dyDescent="0.2">
      <c r="A63" s="123">
        <v>3</v>
      </c>
      <c r="B63" s="121" t="s">
        <v>82</v>
      </c>
      <c r="C63" s="158"/>
      <c r="D63" s="132"/>
      <c r="O63" s="127" t="s">
        <v>123</v>
      </c>
    </row>
    <row r="64" spans="1:15" ht="11.45" hidden="1" customHeight="1" x14ac:dyDescent="0.2">
      <c r="A64" s="123">
        <v>4</v>
      </c>
      <c r="B64" s="121" t="s">
        <v>92</v>
      </c>
      <c r="C64" s="158"/>
      <c r="D64" s="132">
        <v>22737.05</v>
      </c>
      <c r="E64" s="127">
        <v>21222.14</v>
      </c>
      <c r="F64" s="133">
        <f>D64-E64</f>
        <v>1514.9099999999999</v>
      </c>
      <c r="G64" s="134" t="s">
        <v>109</v>
      </c>
      <c r="O64" s="127">
        <v>12.92</v>
      </c>
    </row>
    <row r="65" spans="1:5" ht="11.45" hidden="1" customHeight="1" x14ac:dyDescent="0.2">
      <c r="A65" s="123">
        <v>5</v>
      </c>
      <c r="B65" s="121" t="s">
        <v>91</v>
      </c>
      <c r="C65" s="158"/>
      <c r="D65" s="132"/>
    </row>
    <row r="66" spans="1:5" ht="11.45" customHeight="1" x14ac:dyDescent="0.2">
      <c r="A66" s="123"/>
      <c r="B66" s="121"/>
      <c r="C66" s="125">
        <f>SUM(C61:C65)</f>
        <v>0</v>
      </c>
      <c r="D66" s="132"/>
    </row>
    <row r="67" spans="1:5" s="131" customFormat="1" ht="11.45" customHeight="1" thickBot="1" x14ac:dyDescent="0.25">
      <c r="A67" s="145"/>
      <c r="B67" s="146" t="s">
        <v>31</v>
      </c>
      <c r="C67" s="126">
        <f>C66+C59</f>
        <v>530862.13899999997</v>
      </c>
      <c r="E67" s="135"/>
    </row>
    <row r="68" spans="1:5" ht="11.45" customHeight="1" thickBot="1" x14ac:dyDescent="0.25">
      <c r="A68" s="143"/>
      <c r="B68" s="55" t="s">
        <v>73</v>
      </c>
      <c r="C68" s="137">
        <f>-C66</f>
        <v>0</v>
      </c>
    </row>
    <row r="69" spans="1:5" ht="11.45" customHeight="1" thickBot="1" x14ac:dyDescent="0.25">
      <c r="A69" s="136"/>
      <c r="B69" s="120" t="s">
        <v>74</v>
      </c>
      <c r="C69" s="108">
        <f>SUM(C67:C68)</f>
        <v>530862.13899999997</v>
      </c>
      <c r="E69" s="138"/>
    </row>
    <row r="70" spans="1:5" ht="11.45" customHeight="1" x14ac:dyDescent="0.2">
      <c r="B70" s="139"/>
    </row>
    <row r="71" spans="1:5" ht="11.45" customHeight="1" x14ac:dyDescent="0.2">
      <c r="C71" s="119" t="s">
        <v>84</v>
      </c>
    </row>
    <row r="72" spans="1:5" ht="11.45" customHeight="1" x14ac:dyDescent="0.2">
      <c r="B72" s="118"/>
    </row>
    <row r="76" spans="1:5" ht="11.45" customHeight="1" x14ac:dyDescent="0.2">
      <c r="A76" s="42" t="s">
        <v>50</v>
      </c>
      <c r="B76" s="43"/>
      <c r="C76" s="93"/>
    </row>
    <row r="77" spans="1:5" ht="11.45" customHeight="1" thickBot="1" x14ac:dyDescent="0.25">
      <c r="A77" s="42" t="s">
        <v>59</v>
      </c>
      <c r="B77" s="44"/>
      <c r="C77" s="94"/>
    </row>
    <row r="78" spans="1:5" ht="11.45" customHeight="1" thickBot="1" x14ac:dyDescent="0.25">
      <c r="A78" s="45" t="s">
        <v>11</v>
      </c>
      <c r="B78" s="46" t="s">
        <v>49</v>
      </c>
      <c r="C78" s="95" t="s">
        <v>35</v>
      </c>
    </row>
    <row r="79" spans="1:5" ht="11.45" customHeight="1" thickTop="1" x14ac:dyDescent="0.2">
      <c r="A79" s="47">
        <v>1</v>
      </c>
      <c r="B79" s="141">
        <f>RECV!B4</f>
        <v>0</v>
      </c>
      <c r="C79" s="142">
        <f>RECV!D4</f>
        <v>0</v>
      </c>
    </row>
    <row r="80" spans="1:5" ht="11.45" customHeight="1" thickBot="1" x14ac:dyDescent="0.25">
      <c r="A80" s="48">
        <v>2</v>
      </c>
      <c r="B80" s="141">
        <f>RECV!B5</f>
        <v>0</v>
      </c>
      <c r="C80" s="142">
        <f>RECV!D5</f>
        <v>0</v>
      </c>
    </row>
    <row r="81" spans="1:3" ht="11.45" customHeight="1" thickTop="1" x14ac:dyDescent="0.2">
      <c r="A81" s="47">
        <v>3</v>
      </c>
      <c r="B81" s="141">
        <f>RECV!B6</f>
        <v>0</v>
      </c>
      <c r="C81" s="142">
        <f>RECV!D6</f>
        <v>0</v>
      </c>
    </row>
    <row r="82" spans="1:3" ht="11.45" customHeight="1" x14ac:dyDescent="0.2">
      <c r="A82" s="48">
        <v>4</v>
      </c>
      <c r="B82" s="141">
        <f>RECV!B7</f>
        <v>0</v>
      </c>
      <c r="C82" s="142">
        <f>RECV!D7</f>
        <v>0</v>
      </c>
    </row>
    <row r="83" spans="1:3" ht="11.45" customHeight="1" thickBot="1" x14ac:dyDescent="0.25">
      <c r="A83" s="48">
        <v>5</v>
      </c>
      <c r="B83" s="141">
        <f>RECV!B8</f>
        <v>0</v>
      </c>
      <c r="C83" s="142">
        <f>RECV!D8</f>
        <v>0</v>
      </c>
    </row>
    <row r="84" spans="1:3" ht="11.45" customHeight="1" thickTop="1" x14ac:dyDescent="0.2">
      <c r="A84" s="47">
        <v>6</v>
      </c>
      <c r="B84" s="141">
        <f>RECV!B9</f>
        <v>0</v>
      </c>
      <c r="C84" s="142">
        <f>RECV!D9</f>
        <v>0</v>
      </c>
    </row>
    <row r="85" spans="1:3" ht="11.45" customHeight="1" x14ac:dyDescent="0.2">
      <c r="A85" s="48">
        <v>7</v>
      </c>
      <c r="B85" s="141">
        <f>RECV!B10</f>
        <v>0</v>
      </c>
      <c r="C85" s="142">
        <f>RECV!D10</f>
        <v>0</v>
      </c>
    </row>
    <row r="86" spans="1:3" ht="11.45" customHeight="1" thickBot="1" x14ac:dyDescent="0.25">
      <c r="A86" s="48">
        <v>8</v>
      </c>
      <c r="B86" s="141">
        <f>RECV!B11</f>
        <v>0</v>
      </c>
      <c r="C86" s="142">
        <f>RECV!D11</f>
        <v>0</v>
      </c>
    </row>
    <row r="87" spans="1:3" ht="11.45" customHeight="1" thickTop="1" x14ac:dyDescent="0.2">
      <c r="A87" s="47">
        <v>9</v>
      </c>
      <c r="B87" s="141">
        <f>RECV!B12</f>
        <v>0</v>
      </c>
      <c r="C87" s="142">
        <f>RECV!D12</f>
        <v>0</v>
      </c>
    </row>
    <row r="88" spans="1:3" ht="11.45" customHeight="1" x14ac:dyDescent="0.2">
      <c r="A88" s="48">
        <v>10</v>
      </c>
      <c r="B88" s="141">
        <f>RECV!B13</f>
        <v>0</v>
      </c>
      <c r="C88" s="142">
        <f>RECV!D13</f>
        <v>0</v>
      </c>
    </row>
    <row r="89" spans="1:3" ht="11.45" customHeight="1" thickBot="1" x14ac:dyDescent="0.25">
      <c r="A89" s="48">
        <v>11</v>
      </c>
      <c r="B89" s="141">
        <f>RECV!B14</f>
        <v>0</v>
      </c>
      <c r="C89" s="142">
        <f>RECV!D14</f>
        <v>0</v>
      </c>
    </row>
    <row r="90" spans="1:3" ht="11.45" customHeight="1" thickTop="1" x14ac:dyDescent="0.2">
      <c r="A90" s="47">
        <v>12</v>
      </c>
      <c r="B90" s="141">
        <f>RECV!B15</f>
        <v>0</v>
      </c>
      <c r="C90" s="142">
        <f>RECV!D15</f>
        <v>0</v>
      </c>
    </row>
    <row r="91" spans="1:3" ht="11.45" customHeight="1" thickBot="1" x14ac:dyDescent="0.25">
      <c r="A91" s="48">
        <v>13</v>
      </c>
      <c r="B91" s="141">
        <f>RECV!B16</f>
        <v>0</v>
      </c>
      <c r="C91" s="142">
        <f>RECV!D16</f>
        <v>0</v>
      </c>
    </row>
    <row r="92" spans="1:3" ht="11.45" customHeight="1" thickTop="1" thickBot="1" x14ac:dyDescent="0.25">
      <c r="A92" s="111"/>
      <c r="B92" s="141" t="e">
        <f>RECV!#REF!</f>
        <v>#REF!</v>
      </c>
      <c r="C92" s="142"/>
    </row>
    <row r="93" spans="1:3" ht="11.45" customHeight="1" thickTop="1" x14ac:dyDescent="0.2">
      <c r="A93" s="111"/>
      <c r="B93" s="141">
        <f>RECV!B17</f>
        <v>0</v>
      </c>
      <c r="C93" s="142">
        <f>SUM(C79:C92)</f>
        <v>0</v>
      </c>
    </row>
    <row r="94" spans="1:3" ht="11.45" customHeight="1" x14ac:dyDescent="0.2">
      <c r="A94" s="51"/>
      <c r="B94" s="51"/>
      <c r="C94" s="94"/>
    </row>
    <row r="95" spans="1:3" ht="11.45" customHeight="1" x14ac:dyDescent="0.2">
      <c r="A95" s="51"/>
      <c r="B95" s="51"/>
      <c r="C95" s="94"/>
    </row>
    <row r="96" spans="1:3" ht="11.45" customHeight="1" thickBot="1" x14ac:dyDescent="0.25">
      <c r="A96" s="42" t="s">
        <v>61</v>
      </c>
      <c r="B96" s="44"/>
      <c r="C96" s="94"/>
    </row>
    <row r="97" spans="1:3" ht="11.45" customHeight="1" thickBot="1" x14ac:dyDescent="0.25">
      <c r="A97" s="45" t="s">
        <v>11</v>
      </c>
      <c r="B97" s="46" t="s">
        <v>49</v>
      </c>
      <c r="C97" s="95" t="s">
        <v>35</v>
      </c>
    </row>
    <row r="98" spans="1:3" ht="11.45" customHeight="1" thickTop="1" thickBot="1" x14ac:dyDescent="0.25">
      <c r="A98" s="47">
        <v>1</v>
      </c>
      <c r="B98" s="141">
        <f>RECV!B22</f>
        <v>0</v>
      </c>
      <c r="C98" s="97">
        <f>RECV!D22</f>
        <v>0</v>
      </c>
    </row>
    <row r="99" spans="1:3" ht="11.45" customHeight="1" thickTop="1" thickBot="1" x14ac:dyDescent="0.25">
      <c r="A99" s="47">
        <v>2</v>
      </c>
      <c r="B99" s="141">
        <f>RECV!B23</f>
        <v>0</v>
      </c>
      <c r="C99" s="97">
        <f>RECV!D23</f>
        <v>0</v>
      </c>
    </row>
    <row r="100" spans="1:3" ht="11.45" customHeight="1" thickTop="1" thickBot="1" x14ac:dyDescent="0.25">
      <c r="A100" s="47">
        <v>3</v>
      </c>
      <c r="B100" s="141">
        <f>RECV!B24</f>
        <v>0</v>
      </c>
      <c r="C100" s="97">
        <f>RECV!D24</f>
        <v>0</v>
      </c>
    </row>
    <row r="101" spans="1:3" ht="11.45" customHeight="1" thickTop="1" thickBot="1" x14ac:dyDescent="0.25">
      <c r="A101" s="47">
        <v>4</v>
      </c>
      <c r="B101" s="141">
        <f>RECV!B25</f>
        <v>0</v>
      </c>
      <c r="C101" s="97">
        <f>RECV!D25</f>
        <v>0</v>
      </c>
    </row>
    <row r="102" spans="1:3" ht="11.45" customHeight="1" thickTop="1" thickBot="1" x14ac:dyDescent="0.25">
      <c r="A102" s="47">
        <v>5</v>
      </c>
      <c r="B102" s="141">
        <f>RECV!B26</f>
        <v>0</v>
      </c>
      <c r="C102" s="97">
        <f>RECV!D26</f>
        <v>0</v>
      </c>
    </row>
    <row r="103" spans="1:3" ht="11.45" customHeight="1" thickTop="1" thickBot="1" x14ac:dyDescent="0.25">
      <c r="A103" s="47">
        <v>6</v>
      </c>
      <c r="B103" s="141">
        <f>RECV!B27</f>
        <v>0</v>
      </c>
      <c r="C103" s="97">
        <f>RECV!D27</f>
        <v>0</v>
      </c>
    </row>
    <row r="104" spans="1:3" ht="11.45" customHeight="1" thickTop="1" x14ac:dyDescent="0.2">
      <c r="A104" s="47">
        <v>7</v>
      </c>
      <c r="B104" s="141">
        <f>RECV!B28</f>
        <v>0</v>
      </c>
      <c r="C104" s="97">
        <f>RECV!D28</f>
        <v>0</v>
      </c>
    </row>
    <row r="105" spans="1:3" ht="11.45" customHeight="1" thickBot="1" x14ac:dyDescent="0.25">
      <c r="A105" s="69"/>
      <c r="B105" s="70"/>
      <c r="C105" s="98"/>
    </row>
    <row r="106" spans="1:3" ht="11.45" customHeight="1" thickTop="1" thickBot="1" x14ac:dyDescent="0.25">
      <c r="A106" s="49"/>
      <c r="B106" s="50"/>
      <c r="C106" s="96">
        <f>SUM(C98:C104)</f>
        <v>0</v>
      </c>
    </row>
  </sheetData>
  <mergeCells count="1">
    <mergeCell ref="A1:C1"/>
  </mergeCells>
  <phoneticPr fontId="0" type="noConversion"/>
  <pageMargins left="1" right="0.25" top="0.25" bottom="0" header="0.5" footer="0.5"/>
  <pageSetup scale="90" orientation="portrait" r:id="rId1"/>
  <headerFooter alignWithMargins="0"/>
  <rowBreaks count="1" manualBreakCount="1">
    <brk id="7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1"/>
  <sheetViews>
    <sheetView tabSelected="1" workbookViewId="0">
      <selection activeCell="H3" sqref="H3"/>
    </sheetView>
  </sheetViews>
  <sheetFormatPr defaultRowHeight="15" customHeight="1" x14ac:dyDescent="0.2"/>
  <cols>
    <col min="1" max="1" width="9.5703125" style="260" customWidth="1"/>
    <col min="2" max="2" width="58.5703125" style="261" customWidth="1"/>
    <col min="3" max="3" width="6.140625" style="262" customWidth="1"/>
    <col min="4" max="4" width="22.140625" style="260" customWidth="1"/>
    <col min="5" max="5" width="18.28515625" style="127" customWidth="1"/>
    <col min="6" max="6" width="10.140625" style="127" bestFit="1" customWidth="1"/>
    <col min="7" max="8" width="9.140625" style="127"/>
    <col min="9" max="9" width="16" style="127" bestFit="1" customWidth="1"/>
    <col min="10" max="16384" width="9.140625" style="127"/>
  </cols>
  <sheetData>
    <row r="1" spans="1:6" s="131" customFormat="1" ht="18.75" customHeight="1" x14ac:dyDescent="0.2">
      <c r="A1" s="263"/>
      <c r="B1" s="263"/>
      <c r="C1" s="263"/>
      <c r="D1" s="263"/>
    </row>
    <row r="2" spans="1:6" s="131" customFormat="1" ht="18" customHeight="1" x14ac:dyDescent="0.2">
      <c r="A2" s="263" t="s">
        <v>615</v>
      </c>
      <c r="B2" s="263"/>
      <c r="C2" s="263"/>
      <c r="D2" s="263"/>
    </row>
    <row r="3" spans="1:6" s="131" customFormat="1" ht="15.75" customHeight="1" x14ac:dyDescent="0.2">
      <c r="A3" s="256" t="s">
        <v>75</v>
      </c>
      <c r="B3" s="257" t="s">
        <v>12</v>
      </c>
      <c r="C3" s="258"/>
      <c r="D3" s="258" t="s">
        <v>76</v>
      </c>
    </row>
    <row r="4" spans="1:6" ht="15" customHeight="1" x14ac:dyDescent="0.2">
      <c r="A4" s="177"/>
      <c r="B4" s="121"/>
      <c r="C4" s="229"/>
    </row>
    <row r="5" spans="1:6" ht="15" customHeight="1" x14ac:dyDescent="0.2">
      <c r="A5" s="177"/>
      <c r="B5" s="121"/>
      <c r="C5" s="229"/>
    </row>
    <row r="6" spans="1:6" ht="15" customHeight="1" x14ac:dyDescent="0.2">
      <c r="A6" s="177"/>
      <c r="B6" s="121"/>
      <c r="C6" s="229"/>
    </row>
    <row r="7" spans="1:6" ht="15" customHeight="1" x14ac:dyDescent="0.2">
      <c r="A7" s="177"/>
      <c r="B7" s="121"/>
      <c r="C7" s="229"/>
    </row>
    <row r="8" spans="1:6" ht="15" customHeight="1" x14ac:dyDescent="0.2">
      <c r="A8" s="177"/>
      <c r="B8" s="121"/>
      <c r="C8" s="229"/>
      <c r="F8" s="153"/>
    </row>
    <row r="9" spans="1:6" ht="15" customHeight="1" x14ac:dyDescent="0.2">
      <c r="A9" s="177"/>
      <c r="B9" s="121"/>
      <c r="C9" s="229"/>
    </row>
    <row r="10" spans="1:6" ht="15" customHeight="1" x14ac:dyDescent="0.2">
      <c r="A10" s="177"/>
      <c r="B10" s="121"/>
      <c r="C10" s="229"/>
    </row>
    <row r="11" spans="1:6" ht="15" customHeight="1" x14ac:dyDescent="0.2">
      <c r="A11" s="177"/>
      <c r="B11" s="121"/>
      <c r="C11" s="229"/>
    </row>
    <row r="12" spans="1:6" ht="15" customHeight="1" x14ac:dyDescent="0.2">
      <c r="A12" s="177"/>
      <c r="B12" s="121"/>
      <c r="C12" s="229"/>
    </row>
    <row r="13" spans="1:6" ht="15" customHeight="1" x14ac:dyDescent="0.2">
      <c r="A13" s="177"/>
      <c r="B13" s="121"/>
      <c r="C13" s="229"/>
    </row>
    <row r="14" spans="1:6" ht="15" customHeight="1" x14ac:dyDescent="0.2">
      <c r="A14" s="177"/>
      <c r="B14" s="121"/>
      <c r="C14" s="229"/>
    </row>
    <row r="15" spans="1:6" ht="15" customHeight="1" x14ac:dyDescent="0.2">
      <c r="A15" s="177"/>
      <c r="B15" s="121"/>
      <c r="C15" s="229"/>
    </row>
    <row r="16" spans="1:6" ht="15" customHeight="1" x14ac:dyDescent="0.2">
      <c r="A16" s="177"/>
      <c r="B16" s="121"/>
      <c r="C16" s="229"/>
    </row>
    <row r="17" spans="1:5" ht="15" customHeight="1" x14ac:dyDescent="0.2">
      <c r="A17" s="177"/>
      <c r="B17" s="121"/>
      <c r="C17" s="229"/>
    </row>
    <row r="18" spans="1:5" ht="15" customHeight="1" x14ac:dyDescent="0.2">
      <c r="A18" s="177"/>
      <c r="B18" s="121"/>
      <c r="C18" s="229"/>
    </row>
    <row r="19" spans="1:5" ht="15" customHeight="1" x14ac:dyDescent="0.2">
      <c r="A19" s="177"/>
      <c r="B19" s="121"/>
      <c r="C19" s="229"/>
    </row>
    <row r="20" spans="1:5" ht="15" customHeight="1" x14ac:dyDescent="0.2">
      <c r="A20" s="177"/>
      <c r="B20" s="121"/>
      <c r="C20" s="229"/>
    </row>
    <row r="21" spans="1:5" ht="15" customHeight="1" x14ac:dyDescent="0.2">
      <c r="A21" s="177"/>
      <c r="B21" s="121"/>
      <c r="C21" s="229"/>
    </row>
    <row r="22" spans="1:5" ht="15" customHeight="1" x14ac:dyDescent="0.2">
      <c r="A22" s="177"/>
      <c r="B22" s="121"/>
      <c r="C22" s="229"/>
    </row>
    <row r="23" spans="1:5" ht="15" customHeight="1" x14ac:dyDescent="0.2">
      <c r="A23" s="177"/>
      <c r="B23" s="121"/>
      <c r="C23" s="229"/>
    </row>
    <row r="24" spans="1:5" ht="15" customHeight="1" x14ac:dyDescent="0.2">
      <c r="A24" s="177"/>
      <c r="B24" s="121"/>
      <c r="C24" s="229"/>
      <c r="E24" s="154"/>
    </row>
    <row r="25" spans="1:5" ht="15" customHeight="1" x14ac:dyDescent="0.2">
      <c r="A25" s="177"/>
      <c r="B25" s="121"/>
      <c r="C25" s="229"/>
    </row>
    <row r="26" spans="1:5" ht="15" customHeight="1" x14ac:dyDescent="0.2">
      <c r="A26" s="177"/>
      <c r="B26" s="121"/>
      <c r="C26" s="229"/>
    </row>
    <row r="27" spans="1:5" ht="15" customHeight="1" x14ac:dyDescent="0.2">
      <c r="A27" s="177"/>
      <c r="B27" s="121"/>
      <c r="C27" s="229"/>
    </row>
    <row r="28" spans="1:5" ht="15" customHeight="1" x14ac:dyDescent="0.2">
      <c r="A28" s="177"/>
      <c r="B28" s="121"/>
      <c r="C28" s="229"/>
    </row>
    <row r="29" spans="1:5" ht="15" customHeight="1" x14ac:dyDescent="0.2">
      <c r="A29" s="177"/>
      <c r="B29" s="121"/>
      <c r="C29" s="229"/>
    </row>
    <row r="30" spans="1:5" ht="15" customHeight="1" x14ac:dyDescent="0.2">
      <c r="A30" s="177"/>
      <c r="B30" s="121"/>
      <c r="C30" s="229"/>
    </row>
    <row r="31" spans="1:5" ht="15" customHeight="1" x14ac:dyDescent="0.2">
      <c r="A31" s="177"/>
      <c r="B31" s="121"/>
      <c r="C31" s="229"/>
    </row>
    <row r="32" spans="1:5" ht="15" customHeight="1" x14ac:dyDescent="0.2">
      <c r="A32" s="177"/>
      <c r="B32" s="121"/>
      <c r="C32" s="229"/>
    </row>
    <row r="33" spans="1:3" ht="15" customHeight="1" x14ac:dyDescent="0.2">
      <c r="A33" s="177"/>
      <c r="B33" s="121"/>
      <c r="C33" s="229"/>
    </row>
    <row r="34" spans="1:3" ht="15" customHeight="1" x14ac:dyDescent="0.2">
      <c r="A34" s="177"/>
      <c r="B34" s="121"/>
      <c r="C34" s="229"/>
    </row>
    <row r="35" spans="1:3" ht="15" customHeight="1" x14ac:dyDescent="0.2">
      <c r="A35" s="177"/>
      <c r="B35" s="121"/>
      <c r="C35" s="229"/>
    </row>
    <row r="36" spans="1:3" ht="15" customHeight="1" x14ac:dyDescent="0.2">
      <c r="A36" s="177"/>
      <c r="B36" s="121"/>
      <c r="C36" s="229"/>
    </row>
    <row r="37" spans="1:3" ht="15" customHeight="1" x14ac:dyDescent="0.2">
      <c r="A37" s="177"/>
      <c r="B37" s="121"/>
      <c r="C37" s="229"/>
    </row>
    <row r="38" spans="1:3" ht="15" customHeight="1" x14ac:dyDescent="0.2">
      <c r="A38" s="177"/>
      <c r="B38" s="121"/>
      <c r="C38" s="229"/>
    </row>
    <row r="39" spans="1:3" ht="15" customHeight="1" x14ac:dyDescent="0.2">
      <c r="A39" s="177"/>
      <c r="B39" s="121"/>
      <c r="C39" s="229"/>
    </row>
    <row r="40" spans="1:3" ht="15" customHeight="1" x14ac:dyDescent="0.2">
      <c r="A40" s="177"/>
      <c r="B40" s="121"/>
      <c r="C40" s="229"/>
    </row>
    <row r="41" spans="1:3" ht="15" customHeight="1" x14ac:dyDescent="0.2">
      <c r="A41" s="177"/>
      <c r="B41" s="121"/>
      <c r="C41" s="229"/>
    </row>
    <row r="42" spans="1:3" ht="15" customHeight="1" x14ac:dyDescent="0.2">
      <c r="A42" s="177"/>
      <c r="B42" s="121"/>
      <c r="C42" s="229"/>
    </row>
    <row r="43" spans="1:3" ht="15" customHeight="1" x14ac:dyDescent="0.2">
      <c r="A43" s="177"/>
      <c r="B43" s="121"/>
      <c r="C43" s="229"/>
    </row>
    <row r="44" spans="1:3" ht="15" customHeight="1" x14ac:dyDescent="0.2">
      <c r="A44" s="177"/>
      <c r="B44" s="121"/>
      <c r="C44" s="229"/>
    </row>
    <row r="45" spans="1:3" ht="15" customHeight="1" x14ac:dyDescent="0.2">
      <c r="A45" s="177"/>
      <c r="B45" s="121"/>
      <c r="C45" s="229"/>
    </row>
    <row r="46" spans="1:3" ht="15" customHeight="1" x14ac:dyDescent="0.2">
      <c r="A46" s="177"/>
      <c r="B46" s="121"/>
      <c r="C46" s="229"/>
    </row>
    <row r="47" spans="1:3" ht="15" customHeight="1" x14ac:dyDescent="0.2">
      <c r="A47" s="177"/>
      <c r="B47" s="121"/>
      <c r="C47" s="229"/>
    </row>
    <row r="48" spans="1:3" ht="15" customHeight="1" x14ac:dyDescent="0.2">
      <c r="A48" s="177"/>
      <c r="B48" s="121"/>
      <c r="C48" s="229"/>
    </row>
    <row r="49" spans="1:3" ht="15" customHeight="1" x14ac:dyDescent="0.2">
      <c r="A49" s="177"/>
      <c r="B49" s="121"/>
      <c r="C49" s="229"/>
    </row>
    <row r="50" spans="1:3" ht="15" customHeight="1" x14ac:dyDescent="0.2">
      <c r="A50" s="177"/>
      <c r="B50" s="121"/>
      <c r="C50" s="229"/>
    </row>
    <row r="51" spans="1:3" ht="15" customHeight="1" x14ac:dyDescent="0.2">
      <c r="A51" s="177"/>
      <c r="B51" s="121"/>
      <c r="C51" s="229"/>
    </row>
    <row r="52" spans="1:3" ht="15" customHeight="1" x14ac:dyDescent="0.2">
      <c r="A52" s="177"/>
      <c r="B52" s="121"/>
      <c r="C52" s="229"/>
    </row>
    <row r="53" spans="1:3" ht="15" customHeight="1" x14ac:dyDescent="0.2">
      <c r="A53" s="177"/>
      <c r="B53" s="121"/>
      <c r="C53" s="229"/>
    </row>
    <row r="54" spans="1:3" ht="15" customHeight="1" x14ac:dyDescent="0.2">
      <c r="A54" s="177"/>
      <c r="B54" s="121"/>
      <c r="C54" s="229"/>
    </row>
    <row r="55" spans="1:3" ht="15" customHeight="1" x14ac:dyDescent="0.2">
      <c r="A55" s="177"/>
      <c r="B55" s="121"/>
      <c r="C55" s="229"/>
    </row>
    <row r="56" spans="1:3" ht="15" customHeight="1" x14ac:dyDescent="0.2">
      <c r="A56" s="177"/>
      <c r="B56" s="121"/>
      <c r="C56" s="229"/>
    </row>
    <row r="57" spans="1:3" ht="15" customHeight="1" x14ac:dyDescent="0.2">
      <c r="A57" s="177"/>
      <c r="B57" s="121"/>
      <c r="C57" s="229"/>
    </row>
    <row r="58" spans="1:3" ht="15" customHeight="1" x14ac:dyDescent="0.2">
      <c r="A58" s="177"/>
      <c r="B58" s="121"/>
      <c r="C58" s="229"/>
    </row>
    <row r="59" spans="1:3" ht="15" customHeight="1" x14ac:dyDescent="0.2">
      <c r="A59" s="177"/>
      <c r="B59" s="121"/>
      <c r="C59" s="229"/>
    </row>
    <row r="60" spans="1:3" ht="15" customHeight="1" x14ac:dyDescent="0.2">
      <c r="A60" s="177"/>
      <c r="B60" s="121"/>
      <c r="C60" s="229"/>
    </row>
    <row r="61" spans="1:3" ht="15" customHeight="1" x14ac:dyDescent="0.2">
      <c r="A61" s="177"/>
      <c r="B61" s="121"/>
      <c r="C61" s="229"/>
    </row>
    <row r="62" spans="1:3" ht="15" customHeight="1" x14ac:dyDescent="0.2">
      <c r="A62" s="177"/>
      <c r="B62" s="121"/>
      <c r="C62" s="229"/>
    </row>
    <row r="63" spans="1:3" ht="15" customHeight="1" x14ac:dyDescent="0.2">
      <c r="A63" s="177"/>
      <c r="B63" s="121"/>
      <c r="C63" s="229"/>
    </row>
    <row r="64" spans="1:3" ht="15" customHeight="1" x14ac:dyDescent="0.2">
      <c r="A64" s="177"/>
      <c r="B64" s="121"/>
      <c r="C64" s="229"/>
    </row>
    <row r="65" spans="1:3" ht="15" customHeight="1" x14ac:dyDescent="0.2">
      <c r="A65" s="177"/>
      <c r="B65" s="121"/>
      <c r="C65" s="229"/>
    </row>
    <row r="66" spans="1:3" ht="15" customHeight="1" x14ac:dyDescent="0.2">
      <c r="A66" s="177"/>
      <c r="B66" s="121"/>
      <c r="C66" s="229"/>
    </row>
    <row r="67" spans="1:3" ht="15" customHeight="1" x14ac:dyDescent="0.2">
      <c r="A67" s="177"/>
      <c r="B67" s="121"/>
      <c r="C67" s="229"/>
    </row>
    <row r="68" spans="1:3" ht="15" customHeight="1" x14ac:dyDescent="0.2">
      <c r="A68" s="177"/>
      <c r="B68" s="121"/>
      <c r="C68" s="229"/>
    </row>
    <row r="69" spans="1:3" ht="15" customHeight="1" x14ac:dyDescent="0.2">
      <c r="A69" s="177"/>
      <c r="B69" s="121"/>
      <c r="C69" s="229"/>
    </row>
    <row r="70" spans="1:3" ht="15" customHeight="1" x14ac:dyDescent="0.2">
      <c r="A70" s="177"/>
      <c r="B70" s="121"/>
      <c r="C70" s="229"/>
    </row>
    <row r="71" spans="1:3" ht="15" customHeight="1" x14ac:dyDescent="0.2">
      <c r="A71" s="177"/>
      <c r="B71" s="121"/>
      <c r="C71" s="229"/>
    </row>
    <row r="72" spans="1:3" ht="15" customHeight="1" x14ac:dyDescent="0.2">
      <c r="A72" s="177"/>
      <c r="B72" s="121"/>
      <c r="C72" s="229"/>
    </row>
    <row r="73" spans="1:3" ht="15" customHeight="1" x14ac:dyDescent="0.2">
      <c r="A73" s="177"/>
      <c r="B73" s="121"/>
      <c r="C73" s="229"/>
    </row>
    <row r="74" spans="1:3" ht="15" customHeight="1" x14ac:dyDescent="0.2">
      <c r="A74" s="177"/>
      <c r="B74" s="121"/>
      <c r="C74" s="229"/>
    </row>
    <row r="75" spans="1:3" ht="15" customHeight="1" x14ac:dyDescent="0.2">
      <c r="A75" s="177"/>
      <c r="B75" s="121"/>
      <c r="C75" s="229"/>
    </row>
    <row r="76" spans="1:3" ht="15" customHeight="1" x14ac:dyDescent="0.2">
      <c r="A76" s="177"/>
      <c r="B76" s="121"/>
      <c r="C76" s="229"/>
    </row>
    <row r="77" spans="1:3" ht="15" customHeight="1" x14ac:dyDescent="0.2">
      <c r="A77" s="177"/>
      <c r="B77" s="121"/>
      <c r="C77" s="229"/>
    </row>
    <row r="78" spans="1:3" ht="15" customHeight="1" x14ac:dyDescent="0.2">
      <c r="A78" s="177"/>
      <c r="B78" s="121"/>
      <c r="C78" s="229"/>
    </row>
    <row r="79" spans="1:3" ht="15" customHeight="1" x14ac:dyDescent="0.2">
      <c r="A79" s="177"/>
      <c r="B79" s="121"/>
      <c r="C79" s="229"/>
    </row>
    <row r="80" spans="1:3" ht="15" customHeight="1" x14ac:dyDescent="0.2">
      <c r="A80" s="177"/>
      <c r="B80" s="121"/>
      <c r="C80" s="229"/>
    </row>
    <row r="81" spans="1:3" ht="15" customHeight="1" x14ac:dyDescent="0.2">
      <c r="A81" s="177"/>
      <c r="B81" s="121"/>
      <c r="C81" s="229"/>
    </row>
    <row r="82" spans="1:3" ht="15" customHeight="1" x14ac:dyDescent="0.2">
      <c r="A82" s="177"/>
      <c r="B82" s="121"/>
      <c r="C82" s="229"/>
    </row>
    <row r="83" spans="1:3" ht="15" customHeight="1" x14ac:dyDescent="0.2">
      <c r="A83" s="177"/>
      <c r="B83" s="121"/>
      <c r="C83" s="229"/>
    </row>
    <row r="84" spans="1:3" ht="15" customHeight="1" x14ac:dyDescent="0.2">
      <c r="A84" s="177"/>
      <c r="B84" s="121"/>
      <c r="C84" s="229"/>
    </row>
    <row r="85" spans="1:3" ht="15" customHeight="1" x14ac:dyDescent="0.2">
      <c r="A85" s="177"/>
      <c r="B85" s="121"/>
      <c r="C85" s="229"/>
    </row>
    <row r="86" spans="1:3" ht="15" customHeight="1" x14ac:dyDescent="0.2">
      <c r="A86" s="177"/>
      <c r="B86" s="121"/>
      <c r="C86" s="229"/>
    </row>
    <row r="87" spans="1:3" ht="15" customHeight="1" x14ac:dyDescent="0.2">
      <c r="A87" s="177"/>
      <c r="B87" s="121"/>
      <c r="C87" s="229"/>
    </row>
    <row r="88" spans="1:3" ht="15" customHeight="1" x14ac:dyDescent="0.2">
      <c r="A88" s="177"/>
      <c r="B88" s="121"/>
      <c r="C88" s="229"/>
    </row>
    <row r="89" spans="1:3" ht="15" customHeight="1" x14ac:dyDescent="0.2">
      <c r="A89" s="177"/>
      <c r="B89" s="121"/>
      <c r="C89" s="229"/>
    </row>
    <row r="90" spans="1:3" ht="15" customHeight="1" x14ac:dyDescent="0.2">
      <c r="A90" s="177"/>
      <c r="B90" s="121"/>
      <c r="C90" s="229"/>
    </row>
    <row r="91" spans="1:3" ht="15" customHeight="1" x14ac:dyDescent="0.2">
      <c r="A91" s="177"/>
      <c r="B91" s="121"/>
      <c r="C91" s="229"/>
    </row>
    <row r="92" spans="1:3" ht="15" customHeight="1" x14ac:dyDescent="0.2">
      <c r="A92" s="177"/>
      <c r="B92" s="121"/>
      <c r="C92" s="229"/>
    </row>
    <row r="93" spans="1:3" ht="15" customHeight="1" x14ac:dyDescent="0.2">
      <c r="A93" s="177"/>
      <c r="B93" s="121"/>
      <c r="C93" s="229"/>
    </row>
    <row r="94" spans="1:3" ht="15" customHeight="1" x14ac:dyDescent="0.2">
      <c r="A94" s="177"/>
      <c r="B94" s="121"/>
      <c r="C94" s="229"/>
    </row>
    <row r="95" spans="1:3" ht="15" customHeight="1" x14ac:dyDescent="0.2">
      <c r="A95" s="177"/>
      <c r="B95" s="121"/>
      <c r="C95" s="229"/>
    </row>
    <row r="96" spans="1:3" ht="15" customHeight="1" x14ac:dyDescent="0.2">
      <c r="A96" s="177"/>
      <c r="B96" s="121"/>
      <c r="C96" s="229"/>
    </row>
    <row r="97" spans="1:3" ht="15" customHeight="1" x14ac:dyDescent="0.2">
      <c r="A97" s="177"/>
      <c r="B97" s="121"/>
      <c r="C97" s="229"/>
    </row>
    <row r="98" spans="1:3" ht="15" customHeight="1" x14ac:dyDescent="0.2">
      <c r="A98" s="177"/>
      <c r="B98" s="121"/>
      <c r="C98" s="229"/>
    </row>
    <row r="99" spans="1:3" ht="15" customHeight="1" x14ac:dyDescent="0.2">
      <c r="A99" s="177"/>
      <c r="B99" s="121"/>
      <c r="C99" s="229"/>
    </row>
    <row r="100" spans="1:3" ht="15" customHeight="1" x14ac:dyDescent="0.2">
      <c r="A100" s="177"/>
      <c r="B100" s="121"/>
      <c r="C100" s="229"/>
    </row>
    <row r="101" spans="1:3" ht="15" customHeight="1" x14ac:dyDescent="0.2">
      <c r="A101" s="177"/>
      <c r="B101" s="121"/>
      <c r="C101" s="229"/>
    </row>
    <row r="102" spans="1:3" ht="15" customHeight="1" x14ac:dyDescent="0.2">
      <c r="A102" s="177"/>
      <c r="B102" s="121"/>
      <c r="C102" s="229"/>
    </row>
    <row r="103" spans="1:3" ht="15" customHeight="1" x14ac:dyDescent="0.2">
      <c r="A103" s="177"/>
      <c r="B103" s="121"/>
      <c r="C103" s="229"/>
    </row>
    <row r="104" spans="1:3" ht="15" customHeight="1" x14ac:dyDescent="0.2">
      <c r="A104" s="177"/>
      <c r="B104" s="121"/>
      <c r="C104" s="229"/>
    </row>
    <row r="105" spans="1:3" ht="15" customHeight="1" x14ac:dyDescent="0.2">
      <c r="A105" s="177"/>
      <c r="B105" s="121"/>
      <c r="C105" s="229"/>
    </row>
    <row r="106" spans="1:3" ht="15" customHeight="1" x14ac:dyDescent="0.2">
      <c r="A106" s="177"/>
      <c r="B106" s="121"/>
      <c r="C106" s="229"/>
    </row>
    <row r="107" spans="1:3" ht="15" customHeight="1" x14ac:dyDescent="0.2">
      <c r="A107" s="177"/>
      <c r="B107" s="121"/>
      <c r="C107" s="229"/>
    </row>
    <row r="108" spans="1:3" ht="15" customHeight="1" x14ac:dyDescent="0.2">
      <c r="A108" s="177"/>
      <c r="B108" s="121"/>
      <c r="C108" s="229"/>
    </row>
    <row r="109" spans="1:3" ht="15" customHeight="1" x14ac:dyDescent="0.2">
      <c r="A109" s="177"/>
      <c r="B109" s="121"/>
      <c r="C109" s="229"/>
    </row>
    <row r="110" spans="1:3" ht="15" customHeight="1" x14ac:dyDescent="0.2">
      <c r="A110" s="177"/>
      <c r="B110" s="121"/>
      <c r="C110" s="229"/>
    </row>
    <row r="111" spans="1:3" ht="15" customHeight="1" x14ac:dyDescent="0.2">
      <c r="A111" s="177"/>
      <c r="B111" s="121"/>
      <c r="C111" s="229"/>
    </row>
    <row r="112" spans="1:3" ht="15" customHeight="1" x14ac:dyDescent="0.2">
      <c r="A112" s="177"/>
      <c r="B112" s="121"/>
      <c r="C112" s="229"/>
    </row>
    <row r="113" spans="1:3" ht="15" customHeight="1" x14ac:dyDescent="0.2">
      <c r="A113" s="177"/>
      <c r="B113" s="121"/>
      <c r="C113" s="229"/>
    </row>
    <row r="114" spans="1:3" ht="15" customHeight="1" x14ac:dyDescent="0.2">
      <c r="A114" s="177"/>
      <c r="B114" s="121"/>
      <c r="C114" s="229"/>
    </row>
    <row r="115" spans="1:3" ht="15" customHeight="1" x14ac:dyDescent="0.2">
      <c r="A115" s="177"/>
      <c r="B115" s="121"/>
      <c r="C115" s="229"/>
    </row>
    <row r="116" spans="1:3" ht="15" customHeight="1" x14ac:dyDescent="0.2">
      <c r="A116" s="177"/>
      <c r="B116" s="121"/>
      <c r="C116" s="229"/>
    </row>
    <row r="117" spans="1:3" ht="15" customHeight="1" x14ac:dyDescent="0.2">
      <c r="A117" s="177"/>
      <c r="B117" s="121"/>
      <c r="C117" s="229"/>
    </row>
    <row r="118" spans="1:3" ht="15" customHeight="1" x14ac:dyDescent="0.2">
      <c r="A118" s="177"/>
      <c r="B118" s="121"/>
      <c r="C118" s="229"/>
    </row>
    <row r="119" spans="1:3" ht="15" customHeight="1" x14ac:dyDescent="0.2">
      <c r="A119" s="177"/>
      <c r="B119" s="121"/>
      <c r="C119" s="229"/>
    </row>
    <row r="120" spans="1:3" ht="15" customHeight="1" x14ac:dyDescent="0.2">
      <c r="A120" s="177"/>
      <c r="B120" s="121"/>
      <c r="C120" s="229"/>
    </row>
    <row r="121" spans="1:3" ht="15" customHeight="1" x14ac:dyDescent="0.2">
      <c r="A121" s="177"/>
      <c r="B121" s="121"/>
      <c r="C121" s="229"/>
    </row>
    <row r="122" spans="1:3" ht="15" customHeight="1" x14ac:dyDescent="0.2">
      <c r="A122" s="177"/>
      <c r="B122" s="121"/>
      <c r="C122" s="229"/>
    </row>
    <row r="123" spans="1:3" ht="15" customHeight="1" x14ac:dyDescent="0.2">
      <c r="A123" s="177"/>
      <c r="B123" s="121"/>
      <c r="C123" s="229"/>
    </row>
    <row r="124" spans="1:3" ht="15" customHeight="1" x14ac:dyDescent="0.2">
      <c r="A124" s="177"/>
      <c r="B124" s="121"/>
      <c r="C124" s="229"/>
    </row>
    <row r="125" spans="1:3" ht="15" customHeight="1" x14ac:dyDescent="0.2">
      <c r="A125" s="177"/>
      <c r="B125" s="121"/>
      <c r="C125" s="229"/>
    </row>
    <row r="126" spans="1:3" ht="15" customHeight="1" x14ac:dyDescent="0.2">
      <c r="A126" s="177"/>
      <c r="B126" s="121"/>
      <c r="C126" s="229"/>
    </row>
    <row r="127" spans="1:3" ht="15" customHeight="1" x14ac:dyDescent="0.2">
      <c r="A127" s="177"/>
      <c r="B127" s="121"/>
      <c r="C127" s="229"/>
    </row>
    <row r="128" spans="1:3" ht="15" customHeight="1" x14ac:dyDescent="0.2">
      <c r="A128" s="177"/>
      <c r="B128" s="121"/>
      <c r="C128" s="229"/>
    </row>
    <row r="129" spans="1:3" ht="15" customHeight="1" x14ac:dyDescent="0.2">
      <c r="A129" s="177"/>
      <c r="B129" s="121"/>
      <c r="C129" s="229"/>
    </row>
    <row r="130" spans="1:3" ht="15" customHeight="1" x14ac:dyDescent="0.2">
      <c r="A130" s="177"/>
      <c r="B130" s="121"/>
      <c r="C130" s="229"/>
    </row>
    <row r="131" spans="1:3" ht="15" customHeight="1" x14ac:dyDescent="0.2">
      <c r="A131" s="177"/>
      <c r="B131" s="121"/>
      <c r="C131" s="229"/>
    </row>
    <row r="132" spans="1:3" ht="15" customHeight="1" x14ac:dyDescent="0.2">
      <c r="A132" s="177"/>
      <c r="B132" s="121"/>
      <c r="C132" s="229"/>
    </row>
    <row r="133" spans="1:3" ht="15" customHeight="1" x14ac:dyDescent="0.2">
      <c r="A133" s="177"/>
      <c r="B133" s="121"/>
      <c r="C133" s="229"/>
    </row>
    <row r="134" spans="1:3" ht="15" customHeight="1" x14ac:dyDescent="0.2">
      <c r="A134" s="177"/>
      <c r="B134" s="121"/>
      <c r="C134" s="229"/>
    </row>
    <row r="135" spans="1:3" ht="15" customHeight="1" x14ac:dyDescent="0.2">
      <c r="A135" s="177"/>
      <c r="B135" s="121"/>
      <c r="C135" s="229"/>
    </row>
    <row r="136" spans="1:3" ht="15" customHeight="1" x14ac:dyDescent="0.2">
      <c r="A136" s="177"/>
      <c r="B136" s="121"/>
      <c r="C136" s="229"/>
    </row>
    <row r="137" spans="1:3" ht="15" customHeight="1" x14ac:dyDescent="0.2">
      <c r="A137" s="177"/>
      <c r="B137" s="121"/>
      <c r="C137" s="229"/>
    </row>
    <row r="138" spans="1:3" ht="15" customHeight="1" x14ac:dyDescent="0.2">
      <c r="A138" s="177"/>
      <c r="B138" s="121"/>
      <c r="C138" s="229"/>
    </row>
    <row r="139" spans="1:3" ht="15" customHeight="1" x14ac:dyDescent="0.2">
      <c r="A139" s="177"/>
      <c r="B139" s="121"/>
      <c r="C139" s="229"/>
    </row>
    <row r="140" spans="1:3" ht="15" customHeight="1" x14ac:dyDescent="0.2">
      <c r="A140" s="177"/>
      <c r="B140" s="121"/>
      <c r="C140" s="229"/>
    </row>
    <row r="141" spans="1:3" ht="15" customHeight="1" x14ac:dyDescent="0.2">
      <c r="A141" s="177"/>
      <c r="B141" s="121"/>
      <c r="C141" s="229"/>
    </row>
    <row r="142" spans="1:3" ht="15" customHeight="1" x14ac:dyDescent="0.2">
      <c r="A142" s="177"/>
      <c r="B142" s="121"/>
      <c r="C142" s="229"/>
    </row>
    <row r="143" spans="1:3" ht="15" customHeight="1" x14ac:dyDescent="0.2">
      <c r="A143" s="177"/>
      <c r="B143" s="121"/>
      <c r="C143" s="229"/>
    </row>
    <row r="144" spans="1:3" ht="15" customHeight="1" x14ac:dyDescent="0.2">
      <c r="A144" s="177"/>
      <c r="B144" s="121"/>
      <c r="C144" s="229"/>
    </row>
    <row r="145" spans="1:3" ht="15" customHeight="1" x14ac:dyDescent="0.2">
      <c r="A145" s="177"/>
      <c r="B145" s="121"/>
      <c r="C145" s="229"/>
    </row>
    <row r="146" spans="1:3" ht="15" customHeight="1" x14ac:dyDescent="0.2">
      <c r="A146" s="177"/>
      <c r="B146" s="121"/>
      <c r="C146" s="229"/>
    </row>
    <row r="147" spans="1:3" ht="15" customHeight="1" x14ac:dyDescent="0.2">
      <c r="A147" s="177"/>
      <c r="B147" s="121"/>
      <c r="C147" s="229"/>
    </row>
    <row r="148" spans="1:3" ht="15" customHeight="1" x14ac:dyDescent="0.2">
      <c r="A148" s="177"/>
      <c r="B148" s="121"/>
      <c r="C148" s="229"/>
    </row>
    <row r="149" spans="1:3" ht="15" customHeight="1" x14ac:dyDescent="0.2">
      <c r="A149" s="177"/>
      <c r="B149" s="121"/>
      <c r="C149" s="229"/>
    </row>
    <row r="150" spans="1:3" ht="15" customHeight="1" x14ac:dyDescent="0.2">
      <c r="A150" s="177"/>
      <c r="B150" s="121"/>
      <c r="C150" s="229"/>
    </row>
    <row r="151" spans="1:3" ht="15" customHeight="1" x14ac:dyDescent="0.2">
      <c r="A151" s="177"/>
      <c r="B151" s="121"/>
      <c r="C151" s="229"/>
    </row>
    <row r="152" spans="1:3" ht="15" customHeight="1" x14ac:dyDescent="0.2">
      <c r="A152" s="177"/>
      <c r="B152" s="121"/>
      <c r="C152" s="229"/>
    </row>
    <row r="153" spans="1:3" ht="15" customHeight="1" x14ac:dyDescent="0.2">
      <c r="A153" s="177"/>
      <c r="B153" s="121"/>
      <c r="C153" s="229"/>
    </row>
    <row r="154" spans="1:3" ht="15" customHeight="1" x14ac:dyDescent="0.2">
      <c r="A154" s="177"/>
      <c r="B154" s="121"/>
      <c r="C154" s="229"/>
    </row>
    <row r="155" spans="1:3" ht="15" customHeight="1" x14ac:dyDescent="0.2">
      <c r="A155" s="177"/>
      <c r="B155" s="121"/>
      <c r="C155" s="229"/>
    </row>
    <row r="156" spans="1:3" ht="15" customHeight="1" x14ac:dyDescent="0.2">
      <c r="A156" s="177"/>
      <c r="B156" s="121"/>
      <c r="C156" s="229"/>
    </row>
    <row r="157" spans="1:3" ht="15" customHeight="1" x14ac:dyDescent="0.2">
      <c r="A157" s="177"/>
      <c r="B157" s="121"/>
      <c r="C157" s="229"/>
    </row>
    <row r="158" spans="1:3" ht="15" customHeight="1" x14ac:dyDescent="0.2">
      <c r="A158" s="177"/>
      <c r="B158" s="121"/>
      <c r="C158" s="229"/>
    </row>
    <row r="159" spans="1:3" ht="15" customHeight="1" x14ac:dyDescent="0.2">
      <c r="A159" s="177"/>
      <c r="B159" s="121"/>
      <c r="C159" s="229"/>
    </row>
    <row r="160" spans="1:3" ht="15" customHeight="1" x14ac:dyDescent="0.2">
      <c r="A160" s="177"/>
      <c r="B160" s="121"/>
      <c r="C160" s="229"/>
    </row>
    <row r="161" spans="1:7" ht="15" customHeight="1" x14ac:dyDescent="0.2">
      <c r="A161" s="177"/>
      <c r="B161" s="121"/>
      <c r="C161" s="209"/>
    </row>
    <row r="162" spans="1:7" ht="15" customHeight="1" x14ac:dyDescent="0.2">
      <c r="A162" s="177"/>
      <c r="B162" s="121"/>
      <c r="C162" s="229"/>
    </row>
    <row r="163" spans="1:7" s="131" customFormat="1" ht="21" customHeight="1" x14ac:dyDescent="0.2">
      <c r="A163" s="256"/>
      <c r="B163" s="256" t="s">
        <v>31</v>
      </c>
      <c r="C163" s="259">
        <f>SUM(C4:C162)</f>
        <v>0</v>
      </c>
      <c r="D163" s="263"/>
    </row>
    <row r="164" spans="1:7" ht="15" customHeight="1" x14ac:dyDescent="0.2">
      <c r="C164" s="229"/>
      <c r="G164" s="131"/>
    </row>
    <row r="165" spans="1:7" ht="15" customHeight="1" x14ac:dyDescent="0.2">
      <c r="C165" s="229" t="s">
        <v>204</v>
      </c>
      <c r="G165" s="131"/>
    </row>
    <row r="166" spans="1:7" ht="15" customHeight="1" x14ac:dyDescent="0.2">
      <c r="G166" s="131"/>
    </row>
    <row r="167" spans="1:7" ht="15" customHeight="1" x14ac:dyDescent="0.2">
      <c r="G167" s="131"/>
    </row>
    <row r="168" spans="1:7" ht="15" customHeight="1" x14ac:dyDescent="0.2">
      <c r="G168" s="131"/>
    </row>
    <row r="169" spans="1:7" ht="15" customHeight="1" x14ac:dyDescent="0.2">
      <c r="G169" s="131"/>
    </row>
    <row r="170" spans="1:7" ht="15" customHeight="1" x14ac:dyDescent="0.2">
      <c r="G170" s="131"/>
    </row>
    <row r="171" spans="1:7" ht="15" customHeight="1" x14ac:dyDescent="0.2">
      <c r="G171" s="131"/>
    </row>
  </sheetData>
  <phoneticPr fontId="0" type="noConversion"/>
  <pageMargins left="1" right="0.75" top="0.75" bottom="0.5" header="0" footer="0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0"/>
  <sheetViews>
    <sheetView zoomScale="75" workbookViewId="0">
      <selection activeCell="R8" sqref="R8"/>
    </sheetView>
  </sheetViews>
  <sheetFormatPr defaultRowHeight="28.5" customHeight="1" x14ac:dyDescent="0.2"/>
  <cols>
    <col min="1" max="1" width="4.42578125" customWidth="1"/>
    <col min="2" max="2" width="30.42578125" customWidth="1"/>
    <col min="3" max="3" width="14.42578125" customWidth="1"/>
    <col min="4" max="4" width="15.140625" customWidth="1"/>
    <col min="5" max="5" width="15.28515625" customWidth="1"/>
    <col min="6" max="6" width="14.7109375" customWidth="1"/>
    <col min="7" max="7" width="15.7109375" customWidth="1"/>
    <col min="8" max="8" width="14.85546875" customWidth="1"/>
    <col min="9" max="9" width="15.42578125" customWidth="1"/>
    <col min="10" max="14" width="19.42578125" hidden="1" customWidth="1"/>
    <col min="15" max="15" width="16.7109375" customWidth="1"/>
    <col min="16" max="16" width="12.85546875" customWidth="1"/>
    <col min="17" max="17" width="11.5703125" customWidth="1"/>
    <col min="18" max="18" width="16.28515625" customWidth="1"/>
    <col min="19" max="19" width="9.140625" customWidth="1"/>
  </cols>
  <sheetData>
    <row r="1" spans="1:26" ht="21" customHeight="1" x14ac:dyDescent="0.2"/>
    <row r="2" spans="1:26" ht="21" customHeight="1" x14ac:dyDescent="0.2"/>
    <row r="3" spans="1:26" ht="21" customHeight="1" x14ac:dyDescent="0.2">
      <c r="A3" s="41" t="s">
        <v>206</v>
      </c>
    </row>
    <row r="4" spans="1:26" ht="21" customHeight="1" x14ac:dyDescent="0.2"/>
    <row r="5" spans="1:26" ht="21" customHeight="1" x14ac:dyDescent="0.2">
      <c r="A5" s="14" t="s">
        <v>36</v>
      </c>
      <c r="B5" s="14" t="s">
        <v>12</v>
      </c>
      <c r="C5" s="15" t="s">
        <v>37</v>
      </c>
      <c r="D5" s="15" t="s">
        <v>38</v>
      </c>
      <c r="E5" s="15" t="s">
        <v>39</v>
      </c>
      <c r="F5" s="15" t="s">
        <v>40</v>
      </c>
      <c r="G5" s="15" t="s">
        <v>41</v>
      </c>
      <c r="H5" s="15" t="s">
        <v>42</v>
      </c>
      <c r="I5" s="15" t="s">
        <v>43</v>
      </c>
      <c r="J5" s="15" t="s">
        <v>44</v>
      </c>
      <c r="K5" s="15" t="s">
        <v>45</v>
      </c>
      <c r="L5" s="15" t="s">
        <v>46</v>
      </c>
      <c r="M5" s="15" t="s">
        <v>30</v>
      </c>
      <c r="N5" s="15" t="s">
        <v>32</v>
      </c>
      <c r="O5" s="15" t="s">
        <v>31</v>
      </c>
      <c r="P5" s="54"/>
    </row>
    <row r="6" spans="1:26" ht="21" customHeight="1" x14ac:dyDescent="0.2">
      <c r="A6" s="21">
        <v>1</v>
      </c>
      <c r="B6" s="26" t="s">
        <v>69</v>
      </c>
      <c r="C6" s="17">
        <v>344423.45299999998</v>
      </c>
      <c r="D6" s="17">
        <v>688646.57</v>
      </c>
      <c r="E6" s="17">
        <v>872097.424</v>
      </c>
      <c r="F6" s="17">
        <v>705935.92300000007</v>
      </c>
      <c r="G6" s="17">
        <v>750392.80200000003</v>
      </c>
      <c r="H6" s="17">
        <v>691891.42499999993</v>
      </c>
      <c r="I6" s="17">
        <f>VA!D6</f>
        <v>0</v>
      </c>
      <c r="J6" s="17"/>
      <c r="K6" s="17"/>
      <c r="L6" s="17"/>
      <c r="M6" s="17"/>
      <c r="N6" s="17"/>
      <c r="O6" s="17">
        <f>SUM(C6:N6)</f>
        <v>4053387.5970000001</v>
      </c>
      <c r="P6" s="30"/>
    </row>
    <row r="7" spans="1:26" ht="21" customHeight="1" x14ac:dyDescent="0.2">
      <c r="A7" s="21">
        <v>2</v>
      </c>
      <c r="B7" s="16" t="s">
        <v>17</v>
      </c>
      <c r="C7" s="17">
        <v>-239489.891</v>
      </c>
      <c r="D7" s="17">
        <v>-535742.74399999995</v>
      </c>
      <c r="E7" s="17">
        <v>-632895.40899999999</v>
      </c>
      <c r="F7" s="17">
        <v>-474862.6</v>
      </c>
      <c r="G7" s="17">
        <v>-487578.59</v>
      </c>
      <c r="H7" s="17">
        <v>-411320.94500000001</v>
      </c>
      <c r="I7" s="17">
        <f>VA!D7</f>
        <v>0</v>
      </c>
      <c r="J7" s="17"/>
      <c r="K7" s="17"/>
      <c r="L7" s="17"/>
      <c r="M7" s="17"/>
      <c r="N7" s="17"/>
      <c r="O7" s="17">
        <f t="shared" ref="O7:O17" si="0">SUM(C7:N7)</f>
        <v>-2781890.1789999995</v>
      </c>
      <c r="P7" s="30"/>
      <c r="R7" s="2"/>
      <c r="U7" s="29"/>
      <c r="Z7" s="29"/>
    </row>
    <row r="8" spans="1:26" ht="21" customHeight="1" x14ac:dyDescent="0.35">
      <c r="A8" s="21">
        <v>3</v>
      </c>
      <c r="B8" s="16" t="s">
        <v>18</v>
      </c>
      <c r="C8" s="17">
        <v>-90645</v>
      </c>
      <c r="D8" s="17">
        <v>-86939.953999999998</v>
      </c>
      <c r="E8" s="17">
        <v>-94346.844000000012</v>
      </c>
      <c r="F8" s="17">
        <v>-85683.154999999999</v>
      </c>
      <c r="G8" s="17">
        <v>-88777.06700000001</v>
      </c>
      <c r="H8" s="17">
        <v>-86707.391000000003</v>
      </c>
      <c r="I8" s="17">
        <f>VA!D8</f>
        <v>0</v>
      </c>
      <c r="J8" s="17"/>
      <c r="K8" s="17"/>
      <c r="L8" s="17"/>
      <c r="M8" s="17"/>
      <c r="N8" s="17"/>
      <c r="O8" s="17">
        <f t="shared" si="0"/>
        <v>-533099.41100000008</v>
      </c>
      <c r="P8" s="30"/>
      <c r="R8" s="168" t="s">
        <v>607</v>
      </c>
      <c r="S8" s="29"/>
    </row>
    <row r="9" spans="1:26" ht="21" customHeight="1" x14ac:dyDescent="0.2">
      <c r="A9" s="21">
        <v>4</v>
      </c>
      <c r="B9" s="16" t="s">
        <v>19</v>
      </c>
      <c r="C9" s="17">
        <v>-37558.199999999997</v>
      </c>
      <c r="D9" s="17">
        <v>-50600.207999999999</v>
      </c>
      <c r="E9" s="17">
        <v>-41319.828000000001</v>
      </c>
      <c r="F9" s="17">
        <v>-41980.928999999996</v>
      </c>
      <c r="G9" s="17">
        <v>-42161.550999999999</v>
      </c>
      <c r="H9" s="17">
        <v>-44618.879999999997</v>
      </c>
      <c r="I9" s="17">
        <f>VA!D9</f>
        <v>0</v>
      </c>
      <c r="J9" s="17"/>
      <c r="K9" s="17"/>
      <c r="L9" s="17"/>
      <c r="M9" s="17"/>
      <c r="N9" s="17"/>
      <c r="O9" s="17">
        <f t="shared" si="0"/>
        <v>-258239.59600000002</v>
      </c>
      <c r="P9" s="30"/>
      <c r="R9" s="2"/>
      <c r="U9" s="29"/>
      <c r="Z9" s="29"/>
    </row>
    <row r="10" spans="1:26" ht="21" customHeight="1" x14ac:dyDescent="0.2">
      <c r="A10" s="21"/>
      <c r="B10" s="26" t="s">
        <v>4</v>
      </c>
      <c r="C10" s="40">
        <v>-23269.638000000021</v>
      </c>
      <c r="D10" s="40">
        <v>15363.664000000004</v>
      </c>
      <c r="E10" s="40">
        <v>103535.34299999999</v>
      </c>
      <c r="F10" s="40">
        <v>103409.23900000009</v>
      </c>
      <c r="G10" s="40">
        <v>131875.59399999998</v>
      </c>
      <c r="H10" s="40">
        <v>149244.20899999992</v>
      </c>
      <c r="I10" s="40">
        <f t="shared" ref="I10:N10" si="1">SUM(I6:I9)</f>
        <v>0</v>
      </c>
      <c r="J10" s="40">
        <f t="shared" si="1"/>
        <v>0</v>
      </c>
      <c r="K10" s="40">
        <f t="shared" si="1"/>
        <v>0</v>
      </c>
      <c r="L10" s="40">
        <f t="shared" si="1"/>
        <v>0</v>
      </c>
      <c r="M10" s="40">
        <f t="shared" si="1"/>
        <v>0</v>
      </c>
      <c r="N10" s="40">
        <f t="shared" si="1"/>
        <v>0</v>
      </c>
      <c r="O10" s="40">
        <f t="shared" ref="O10" si="2">SUM(O6:O9)</f>
        <v>480158.41100000043</v>
      </c>
      <c r="P10" s="30"/>
      <c r="R10" s="29"/>
    </row>
    <row r="11" spans="1:26" ht="21" customHeight="1" x14ac:dyDescent="0.2">
      <c r="A11" s="21">
        <v>5</v>
      </c>
      <c r="B11" s="16" t="s">
        <v>16</v>
      </c>
      <c r="C11" s="17">
        <v>24053.555</v>
      </c>
      <c r="D11" s="17">
        <v>63214.415000000001</v>
      </c>
      <c r="E11" s="17">
        <v>109811.329</v>
      </c>
      <c r="F11" s="17">
        <v>27609.171999999999</v>
      </c>
      <c r="G11" s="17">
        <v>14077.114000000001</v>
      </c>
      <c r="H11" s="17">
        <v>64161.932000000001</v>
      </c>
      <c r="I11" s="17">
        <f>VA!D11</f>
        <v>0</v>
      </c>
      <c r="J11" s="17"/>
      <c r="K11" s="17"/>
      <c r="L11" s="17"/>
      <c r="M11" s="17"/>
      <c r="N11" s="17"/>
      <c r="O11" s="17">
        <f t="shared" si="0"/>
        <v>302927.51699999999</v>
      </c>
      <c r="P11" s="30"/>
      <c r="R11" s="29"/>
    </row>
    <row r="12" spans="1:26" ht="21" customHeight="1" x14ac:dyDescent="0.2">
      <c r="A12" s="21">
        <v>6</v>
      </c>
      <c r="B12" s="16" t="s">
        <v>60</v>
      </c>
      <c r="C12" s="17">
        <v>-1228</v>
      </c>
      <c r="D12" s="17">
        <v>-2870.442</v>
      </c>
      <c r="E12" s="17">
        <v>-4102.7690000000002</v>
      </c>
      <c r="F12" s="17">
        <v>-2837.5749999999998</v>
      </c>
      <c r="G12" s="17">
        <v>-5872.1149999999998</v>
      </c>
      <c r="H12" s="17">
        <v>-2782.2719999999999</v>
      </c>
      <c r="I12" s="17">
        <f>VA!D12</f>
        <v>0</v>
      </c>
      <c r="J12" s="17"/>
      <c r="K12" s="17"/>
      <c r="L12" s="17"/>
      <c r="M12" s="17"/>
      <c r="N12" s="17"/>
      <c r="O12" s="17">
        <f t="shared" si="0"/>
        <v>-19693.172999999999</v>
      </c>
      <c r="P12" s="30"/>
      <c r="R12" s="29"/>
    </row>
    <row r="13" spans="1:26" ht="21" customHeight="1" x14ac:dyDescent="0.2">
      <c r="A13" s="21">
        <v>7</v>
      </c>
      <c r="B13" s="16" t="s">
        <v>47</v>
      </c>
      <c r="C13" s="17">
        <v>-44236</v>
      </c>
      <c r="D13" s="17">
        <v>-43544.723000000005</v>
      </c>
      <c r="E13" s="17">
        <v>-42345.758999999998</v>
      </c>
      <c r="F13" s="17">
        <v>-56883.112999999998</v>
      </c>
      <c r="G13" s="17">
        <v>-43648.84</v>
      </c>
      <c r="H13" s="17">
        <v>-49908.972999999998</v>
      </c>
      <c r="I13" s="17">
        <f>VA!D13</f>
        <v>0</v>
      </c>
      <c r="J13" s="17"/>
      <c r="K13" s="17"/>
      <c r="L13" s="17"/>
      <c r="M13" s="17"/>
      <c r="N13" s="17"/>
      <c r="O13" s="17">
        <f t="shared" si="0"/>
        <v>-280567.40799999994</v>
      </c>
      <c r="P13" s="30"/>
    </row>
    <row r="14" spans="1:26" ht="21" customHeight="1" x14ac:dyDescent="0.2">
      <c r="A14" s="21">
        <v>8</v>
      </c>
      <c r="B14" s="16" t="s">
        <v>20</v>
      </c>
      <c r="C14" s="17">
        <v>-21955.9</v>
      </c>
      <c r="D14" s="17">
        <v>-22288.1</v>
      </c>
      <c r="E14" s="17">
        <v>-20537.916000000001</v>
      </c>
      <c r="F14" s="17">
        <v>-19685.900000000001</v>
      </c>
      <c r="G14" s="17">
        <v>-21818.458999999999</v>
      </c>
      <c r="H14" s="17">
        <v>-18841.674999999999</v>
      </c>
      <c r="I14" s="17">
        <f>VA!D14</f>
        <v>0</v>
      </c>
      <c r="J14" s="17"/>
      <c r="K14" s="17"/>
      <c r="L14" s="17"/>
      <c r="M14" s="17"/>
      <c r="N14" s="17"/>
      <c r="O14" s="17">
        <f t="shared" si="0"/>
        <v>-125127.95</v>
      </c>
      <c r="P14" s="30"/>
    </row>
    <row r="15" spans="1:26" ht="21" customHeight="1" x14ac:dyDescent="0.2">
      <c r="A15" s="21">
        <v>9</v>
      </c>
      <c r="B15" s="16" t="s">
        <v>66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f>VA!D15</f>
        <v>0</v>
      </c>
      <c r="J15" s="17"/>
      <c r="K15" s="17"/>
      <c r="L15" s="17"/>
      <c r="M15" s="17"/>
      <c r="N15" s="17"/>
      <c r="O15" s="17">
        <f t="shared" si="0"/>
        <v>0</v>
      </c>
      <c r="P15" s="30"/>
    </row>
    <row r="16" spans="1:26" ht="21" customHeight="1" x14ac:dyDescent="0.2">
      <c r="A16" s="21"/>
      <c r="B16" s="26" t="s">
        <v>21</v>
      </c>
      <c r="C16" s="17">
        <v>-66635.983000000022</v>
      </c>
      <c r="D16" s="17">
        <v>9874.8139999999985</v>
      </c>
      <c r="E16" s="17">
        <v>146360.228</v>
      </c>
      <c r="F16" s="17">
        <v>51611.823000000084</v>
      </c>
      <c r="G16" s="17">
        <v>74613.293999999994</v>
      </c>
      <c r="H16" s="17">
        <v>141873.22099999993</v>
      </c>
      <c r="I16" s="17">
        <f t="shared" ref="I16:N16" si="3">SUM(I10:I15)</f>
        <v>0</v>
      </c>
      <c r="J16" s="17">
        <f t="shared" si="3"/>
        <v>0</v>
      </c>
      <c r="K16" s="17">
        <f t="shared" si="3"/>
        <v>0</v>
      </c>
      <c r="L16" s="17">
        <f t="shared" si="3"/>
        <v>0</v>
      </c>
      <c r="M16" s="17">
        <f t="shared" si="3"/>
        <v>0</v>
      </c>
      <c r="N16" s="17">
        <f t="shared" si="3"/>
        <v>0</v>
      </c>
      <c r="O16" s="17">
        <f t="shared" ref="O16" si="4">SUM(O10:O15)</f>
        <v>357697.39700000052</v>
      </c>
      <c r="P16" s="30"/>
    </row>
    <row r="17" spans="1:18" ht="21" customHeight="1" x14ac:dyDescent="0.2">
      <c r="A17" s="21">
        <v>10</v>
      </c>
      <c r="B17" s="16" t="s">
        <v>22</v>
      </c>
      <c r="C17" s="17">
        <v>-6820.3019999999997</v>
      </c>
      <c r="D17" s="17">
        <v>-6125.3679999999995</v>
      </c>
      <c r="E17" s="17">
        <v>-7749.6500000000005</v>
      </c>
      <c r="F17" s="17">
        <v>-7836.4889999999996</v>
      </c>
      <c r="G17" s="17">
        <v>-8138.1279999999997</v>
      </c>
      <c r="H17" s="17">
        <v>-10906.151</v>
      </c>
      <c r="I17" s="17">
        <f>VA!D17</f>
        <v>0</v>
      </c>
      <c r="J17" s="17"/>
      <c r="K17" s="17"/>
      <c r="L17" s="17"/>
      <c r="M17" s="17"/>
      <c r="N17" s="17"/>
      <c r="O17" s="17">
        <f t="shared" si="0"/>
        <v>-47576.087999999996</v>
      </c>
      <c r="P17" s="30"/>
    </row>
    <row r="18" spans="1:18" ht="21" customHeight="1" x14ac:dyDescent="0.2">
      <c r="A18" s="21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30"/>
    </row>
    <row r="19" spans="1:18" ht="21" customHeight="1" x14ac:dyDescent="0.2">
      <c r="A19" s="18"/>
      <c r="B19" s="38" t="s">
        <v>23</v>
      </c>
      <c r="C19" s="22">
        <f t="shared" ref="C19:N19" si="5">SUM(C16:C17)</f>
        <v>-73456.285000000018</v>
      </c>
      <c r="D19" s="22">
        <f t="shared" si="5"/>
        <v>3749.445999999999</v>
      </c>
      <c r="E19" s="22">
        <f t="shared" si="5"/>
        <v>138610.57800000001</v>
      </c>
      <c r="F19" s="22">
        <f t="shared" si="5"/>
        <v>43775.334000000083</v>
      </c>
      <c r="G19" s="22">
        <f t="shared" si="5"/>
        <v>66475.165999999997</v>
      </c>
      <c r="H19" s="22">
        <f t="shared" si="5"/>
        <v>130967.06999999993</v>
      </c>
      <c r="I19" s="22">
        <f t="shared" si="5"/>
        <v>0</v>
      </c>
      <c r="J19" s="22">
        <f t="shared" si="5"/>
        <v>0</v>
      </c>
      <c r="K19" s="22">
        <f t="shared" si="5"/>
        <v>0</v>
      </c>
      <c r="L19" s="22">
        <f t="shared" si="5"/>
        <v>0</v>
      </c>
      <c r="M19" s="22">
        <f t="shared" si="5"/>
        <v>0</v>
      </c>
      <c r="N19" s="22">
        <f t="shared" si="5"/>
        <v>0</v>
      </c>
      <c r="O19" s="22">
        <f>SUM(O16:O17)</f>
        <v>310121.30900000053</v>
      </c>
      <c r="P19" s="30"/>
      <c r="R19" s="29"/>
    </row>
    <row r="20" spans="1:18" s="1" customFormat="1" ht="21" customHeight="1" x14ac:dyDescent="0.2">
      <c r="A20" s="106"/>
      <c r="B20" s="107" t="s">
        <v>140</v>
      </c>
      <c r="C20" s="89">
        <f>C19</f>
        <v>-73456.285000000018</v>
      </c>
      <c r="D20" s="89">
        <f>C20+D19</f>
        <v>-69706.839000000022</v>
      </c>
      <c r="E20" s="89">
        <f>D20+E19</f>
        <v>68903.738999999987</v>
      </c>
      <c r="F20" s="89">
        <f t="shared" ref="F20:I20" si="6">E20+F19</f>
        <v>112679.07300000006</v>
      </c>
      <c r="G20" s="89">
        <f t="shared" si="6"/>
        <v>179154.23900000006</v>
      </c>
      <c r="H20" s="89">
        <f t="shared" si="6"/>
        <v>310121.30900000001</v>
      </c>
      <c r="I20" s="89">
        <f t="shared" si="6"/>
        <v>310121.30900000001</v>
      </c>
      <c r="J20" s="89"/>
      <c r="K20" s="89"/>
      <c r="L20" s="89"/>
      <c r="M20" s="89"/>
      <c r="N20" s="89">
        <f t="shared" ref="N20" si="7">N19</f>
        <v>0</v>
      </c>
      <c r="O20" s="89"/>
    </row>
    <row r="21" spans="1:18" ht="21" customHeight="1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8" ht="21" customHeight="1" x14ac:dyDescent="0.2">
      <c r="B22" s="31" t="s">
        <v>52</v>
      </c>
      <c r="C22" s="30">
        <f t="shared" ref="C22:O22" si="8">+C10/C6*100</f>
        <v>-6.756113091985064</v>
      </c>
      <c r="D22" s="30">
        <f t="shared" si="8"/>
        <v>2.2309940496763101</v>
      </c>
      <c r="E22" s="30">
        <f t="shared" si="8"/>
        <v>11.871992755708449</v>
      </c>
      <c r="F22" s="30">
        <f t="shared" si="8"/>
        <v>14.648530501259119</v>
      </c>
      <c r="G22" s="30">
        <f t="shared" si="8"/>
        <v>17.57420828778152</v>
      </c>
      <c r="H22" s="30">
        <f t="shared" si="8"/>
        <v>21.570466637883239</v>
      </c>
      <c r="I22" s="30" t="e">
        <f t="shared" si="8"/>
        <v>#DIV/0!</v>
      </c>
      <c r="J22" s="30" t="e">
        <f t="shared" si="8"/>
        <v>#DIV/0!</v>
      </c>
      <c r="K22" s="30" t="e">
        <f t="shared" si="8"/>
        <v>#DIV/0!</v>
      </c>
      <c r="L22" s="30" t="e">
        <f t="shared" si="8"/>
        <v>#DIV/0!</v>
      </c>
      <c r="M22" s="30" t="e">
        <f t="shared" si="8"/>
        <v>#DIV/0!</v>
      </c>
      <c r="N22" s="30" t="e">
        <f t="shared" si="8"/>
        <v>#DIV/0!</v>
      </c>
      <c r="O22" s="30">
        <f t="shared" si="8"/>
        <v>11.84585484386877</v>
      </c>
    </row>
    <row r="23" spans="1:18" ht="21" customHeight="1" x14ac:dyDescent="0.2"/>
    <row r="24" spans="1:18" ht="21" customHeight="1" x14ac:dyDescent="0.2">
      <c r="B24" t="s">
        <v>53</v>
      </c>
      <c r="C24" s="28">
        <f t="shared" ref="C24:O24" si="9">+C19/C6*100</f>
        <v>-21.327317974481844</v>
      </c>
      <c r="D24" s="28">
        <f t="shared" si="9"/>
        <v>0.54446593700452173</v>
      </c>
      <c r="E24" s="28">
        <f t="shared" si="9"/>
        <v>15.893932740248525</v>
      </c>
      <c r="F24" s="28">
        <f t="shared" si="9"/>
        <v>6.2010350477659539</v>
      </c>
      <c r="G24" s="28">
        <f t="shared" si="9"/>
        <v>8.8587158382683953</v>
      </c>
      <c r="H24" s="28">
        <f t="shared" si="9"/>
        <v>18.928847109212253</v>
      </c>
      <c r="I24" s="28" t="e">
        <f t="shared" si="9"/>
        <v>#DIV/0!</v>
      </c>
      <c r="J24" s="28" t="e">
        <f t="shared" si="9"/>
        <v>#DIV/0!</v>
      </c>
      <c r="K24" s="28" t="e">
        <f t="shared" si="9"/>
        <v>#DIV/0!</v>
      </c>
      <c r="L24" s="28" t="e">
        <f t="shared" si="9"/>
        <v>#DIV/0!</v>
      </c>
      <c r="M24" s="28" t="e">
        <f t="shared" si="9"/>
        <v>#DIV/0!</v>
      </c>
      <c r="N24" s="28" t="e">
        <f t="shared" si="9"/>
        <v>#DIV/0!</v>
      </c>
      <c r="O24" s="28">
        <f t="shared" si="9"/>
        <v>7.6509167104948972</v>
      </c>
    </row>
    <row r="25" spans="1:18" ht="21" customHeight="1" x14ac:dyDescent="0.2"/>
    <row r="26" spans="1:18" ht="21" customHeight="1" x14ac:dyDescent="0.2">
      <c r="B26" t="s">
        <v>54</v>
      </c>
      <c r="C26" s="28">
        <f>100-C22</f>
        <v>106.75611309198507</v>
      </c>
      <c r="D26" s="28">
        <f t="shared" ref="D26:N26" si="10">100-D22</f>
        <v>97.769005950323688</v>
      </c>
      <c r="E26" s="28">
        <f t="shared" si="10"/>
        <v>88.128007244291553</v>
      </c>
      <c r="F26" s="28">
        <f t="shared" si="10"/>
        <v>85.351469498740883</v>
      </c>
      <c r="G26" s="28">
        <f t="shared" si="10"/>
        <v>82.425791712218484</v>
      </c>
      <c r="H26" s="28">
        <f t="shared" si="10"/>
        <v>78.429533362116757</v>
      </c>
      <c r="I26" s="28" t="e">
        <f t="shared" si="10"/>
        <v>#DIV/0!</v>
      </c>
      <c r="J26" s="28" t="e">
        <f t="shared" si="10"/>
        <v>#DIV/0!</v>
      </c>
      <c r="K26" s="28" t="e">
        <f t="shared" si="10"/>
        <v>#DIV/0!</v>
      </c>
      <c r="L26" s="28" t="e">
        <f t="shared" si="10"/>
        <v>#DIV/0!</v>
      </c>
      <c r="M26" s="28" t="e">
        <f t="shared" si="10"/>
        <v>#DIV/0!</v>
      </c>
      <c r="N26" s="28" t="e">
        <f t="shared" si="10"/>
        <v>#DIV/0!</v>
      </c>
      <c r="O26" s="28">
        <f t="shared" ref="O26" si="11">100-O22</f>
        <v>88.154145156131236</v>
      </c>
    </row>
    <row r="27" spans="1:18" ht="21" customHeight="1" x14ac:dyDescent="0.2"/>
    <row r="28" spans="1:18" ht="21" customHeight="1" x14ac:dyDescent="0.2">
      <c r="B28" t="s">
        <v>58</v>
      </c>
      <c r="C28" s="28">
        <f>-C7/C6%</f>
        <v>69.533560770613377</v>
      </c>
      <c r="D28" s="28">
        <f>-D7/D6%</f>
        <v>77.796473160390534</v>
      </c>
      <c r="E28" s="28">
        <f t="shared" ref="E28:N28" si="12">-E7/E6%</f>
        <v>72.571640688621045</v>
      </c>
      <c r="F28" s="28">
        <f t="shared" si="12"/>
        <v>67.267096705036209</v>
      </c>
      <c r="G28" s="28">
        <f t="shared" si="12"/>
        <v>64.976448161612296</v>
      </c>
      <c r="H28" s="28">
        <f t="shared" si="12"/>
        <v>59.448770448340227</v>
      </c>
      <c r="I28" s="28" t="e">
        <f t="shared" si="12"/>
        <v>#DIV/0!</v>
      </c>
      <c r="J28" s="28" t="e">
        <f t="shared" si="12"/>
        <v>#DIV/0!</v>
      </c>
      <c r="K28" s="28" t="e">
        <f t="shared" si="12"/>
        <v>#DIV/0!</v>
      </c>
      <c r="L28" s="28" t="e">
        <f t="shared" si="12"/>
        <v>#DIV/0!</v>
      </c>
      <c r="M28" s="28" t="e">
        <f t="shared" si="12"/>
        <v>#DIV/0!</v>
      </c>
      <c r="N28" s="28" t="e">
        <f t="shared" si="12"/>
        <v>#DIV/0!</v>
      </c>
      <c r="O28" s="28">
        <f>-O7/O6%</f>
        <v>68.631240226297052</v>
      </c>
    </row>
    <row r="29" spans="1:18" ht="21" customHeight="1" x14ac:dyDescent="0.2"/>
    <row r="30" spans="1:18" ht="21" customHeight="1" x14ac:dyDescent="0.2"/>
    <row r="31" spans="1:18" ht="21" customHeight="1" x14ac:dyDescent="0.2"/>
    <row r="33" spans="2:19" ht="28.5" hidden="1" customHeight="1" x14ac:dyDescent="0.2"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2:19" ht="28.5" hidden="1" customHeight="1" x14ac:dyDescent="0.2">
      <c r="B34" t="s">
        <v>112</v>
      </c>
      <c r="C34" s="29">
        <f>C8+C9+C12+C13+C14+C15+C17-C35</f>
        <v>-202443.402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>
        <f>O8+O9+O12+O13+O14+O15+O17-O35</f>
        <v>-1264303.6259999999</v>
      </c>
    </row>
    <row r="35" spans="2:19" s="71" customFormat="1" ht="28.5" hidden="1" customHeight="1" x14ac:dyDescent="0.2">
      <c r="B35" s="71" t="s">
        <v>112</v>
      </c>
      <c r="C35" s="71">
        <v>0</v>
      </c>
      <c r="O35" s="72">
        <f>SUM(C35:C35)</f>
        <v>0</v>
      </c>
      <c r="P35" s="71">
        <v>0</v>
      </c>
    </row>
    <row r="36" spans="2:19" ht="28.5" hidden="1" customHeight="1" x14ac:dyDescent="0.2">
      <c r="B36" t="s">
        <v>111</v>
      </c>
      <c r="C36" s="29">
        <f>C7</f>
        <v>-239489.891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>
        <f>O7</f>
        <v>-2781890.1789999995</v>
      </c>
    </row>
    <row r="37" spans="2:19" ht="28.5" hidden="1" customHeight="1" x14ac:dyDescent="0.2">
      <c r="B37" t="s">
        <v>110</v>
      </c>
      <c r="C37" s="29">
        <f>C6+C11</f>
        <v>368477.00799999997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>
        <f>O6+O11</f>
        <v>4356315.1140000001</v>
      </c>
    </row>
    <row r="38" spans="2:19" ht="28.5" hidden="1" customHeight="1" x14ac:dyDescent="0.2"/>
    <row r="39" spans="2:19" ht="28.5" hidden="1" customHeight="1" x14ac:dyDescent="0.2">
      <c r="B39" t="s">
        <v>113</v>
      </c>
      <c r="C39" s="29">
        <f>SUM(C34:C38)</f>
        <v>-73456.285000000033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>
        <f t="shared" ref="O39:P39" si="13">SUM(O34:O38)</f>
        <v>310121.30900000036</v>
      </c>
      <c r="P39" s="29">
        <f t="shared" si="13"/>
        <v>0</v>
      </c>
      <c r="Q39" s="29"/>
      <c r="R39" s="29"/>
      <c r="S39" s="29"/>
    </row>
    <row r="40" spans="2:19" ht="28.5" hidden="1" customHeight="1" x14ac:dyDescent="0.2"/>
    <row r="41" spans="2:19" ht="28.5" hidden="1" customHeight="1" x14ac:dyDescent="0.2"/>
    <row r="42" spans="2:19" ht="28.5" hidden="1" customHeight="1" x14ac:dyDescent="0.2"/>
    <row r="43" spans="2:19" ht="28.5" hidden="1" customHeight="1" x14ac:dyDescent="0.2"/>
    <row r="44" spans="2:19" ht="28.5" hidden="1" customHeight="1" x14ac:dyDescent="0.2"/>
    <row r="45" spans="2:19" ht="28.5" hidden="1" customHeight="1" x14ac:dyDescent="0.2"/>
    <row r="46" spans="2:19" ht="28.5" hidden="1" customHeight="1" x14ac:dyDescent="0.2"/>
    <row r="47" spans="2:19" ht="28.5" hidden="1" customHeight="1" x14ac:dyDescent="0.2"/>
    <row r="48" spans="2:19" ht="28.5" hidden="1" customHeight="1" x14ac:dyDescent="0.2"/>
    <row r="49" ht="28.5" hidden="1" customHeight="1" x14ac:dyDescent="0.2"/>
    <row r="50" ht="28.5" hidden="1" customHeight="1" x14ac:dyDescent="0.2"/>
  </sheetData>
  <phoneticPr fontId="0" type="noConversion"/>
  <pageMargins left="1" right="0.25" top="1" bottom="0.25" header="0.5" footer="0.5"/>
  <pageSetup scale="8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1"/>
  <sheetViews>
    <sheetView workbookViewId="0">
      <selection activeCell="D7" sqref="D7"/>
    </sheetView>
  </sheetViews>
  <sheetFormatPr defaultRowHeight="12.75" x14ac:dyDescent="0.2"/>
  <cols>
    <col min="2" max="2" width="28.5703125" customWidth="1"/>
    <col min="3" max="3" width="20.42578125" customWidth="1"/>
    <col min="4" max="4" width="14.140625" customWidth="1"/>
    <col min="5" max="5" width="13.28515625" customWidth="1"/>
    <col min="10" max="10" width="14.85546875" customWidth="1"/>
  </cols>
  <sheetData>
    <row r="1" spans="1:10" x14ac:dyDescent="0.2">
      <c r="E1" s="13"/>
    </row>
    <row r="3" spans="1:10" ht="24" customHeight="1" x14ac:dyDescent="0.2">
      <c r="A3" s="35" t="s">
        <v>11</v>
      </c>
      <c r="B3" s="36" t="s">
        <v>55</v>
      </c>
      <c r="C3" s="37" t="s">
        <v>67</v>
      </c>
      <c r="D3" s="37" t="s">
        <v>68</v>
      </c>
      <c r="E3" s="37" t="s">
        <v>31</v>
      </c>
    </row>
    <row r="4" spans="1:10" ht="24" customHeight="1" x14ac:dyDescent="0.2">
      <c r="A4" s="35">
        <v>1</v>
      </c>
      <c r="B4" s="36" t="s">
        <v>37</v>
      </c>
      <c r="C4" s="37">
        <v>1600</v>
      </c>
      <c r="D4" s="56">
        <f>2149.875+889.659+15288.42+736.593+7604.427+285.915+908.228-1600</f>
        <v>26263.117000000002</v>
      </c>
      <c r="E4" s="56">
        <f>SUM(C4:D4)</f>
        <v>27863.117000000002</v>
      </c>
    </row>
    <row r="5" spans="1:10" ht="24" customHeight="1" x14ac:dyDescent="0.2">
      <c r="A5" s="35">
        <v>2</v>
      </c>
      <c r="B5" s="36" t="s">
        <v>38</v>
      </c>
      <c r="C5" s="37">
        <v>1600</v>
      </c>
      <c r="D5" s="56">
        <f>1815.353+803.563+13902.586+665.549+6931.818+258.245+833.486-1600</f>
        <v>23610.6</v>
      </c>
      <c r="E5" s="56">
        <f t="shared" ref="E5:E15" si="0">SUM(C5:D5)</f>
        <v>25210.6</v>
      </c>
    </row>
    <row r="6" spans="1:10" ht="24" customHeight="1" x14ac:dyDescent="0.35">
      <c r="A6" s="35">
        <v>3</v>
      </c>
      <c r="B6" s="36" t="s">
        <v>39</v>
      </c>
      <c r="C6" s="37">
        <v>1600</v>
      </c>
      <c r="D6" s="56">
        <f>1814.453+889.659+15351.957+736.858+7710.738+285.915+928.472-1600</f>
        <v>26118.052000000003</v>
      </c>
      <c r="E6" s="56">
        <f t="shared" si="0"/>
        <v>27718.052000000003</v>
      </c>
      <c r="J6" s="168" t="s">
        <v>607</v>
      </c>
    </row>
    <row r="7" spans="1:10" ht="24" customHeight="1" x14ac:dyDescent="0.2">
      <c r="A7" s="35">
        <v>4</v>
      </c>
      <c r="B7" s="36" t="s">
        <v>40</v>
      </c>
      <c r="C7" s="37">
        <v>1600</v>
      </c>
      <c r="D7" s="56">
        <f>1635.551+860.96+14054.655+713.088+7462.003+276.691+929.024-1600</f>
        <v>24331.972000000002</v>
      </c>
      <c r="E7" s="56">
        <f t="shared" si="0"/>
        <v>25931.972000000002</v>
      </c>
    </row>
    <row r="8" spans="1:10" ht="24" customHeight="1" x14ac:dyDescent="0.2">
      <c r="A8" s="35">
        <v>5</v>
      </c>
      <c r="B8" s="36" t="s">
        <v>41</v>
      </c>
      <c r="C8" s="37">
        <v>1600</v>
      </c>
      <c r="D8" s="56">
        <f>1682.174+889.659+14677.128+736.858+7709.733+285.915+990.093-1600</f>
        <v>25371.56</v>
      </c>
      <c r="E8" s="56">
        <f t="shared" si="0"/>
        <v>26971.56</v>
      </c>
    </row>
    <row r="9" spans="1:10" ht="24" customHeight="1" x14ac:dyDescent="0.2">
      <c r="A9" s="35">
        <v>6</v>
      </c>
      <c r="B9" s="36" t="s">
        <v>42</v>
      </c>
      <c r="C9" s="37">
        <v>1600</v>
      </c>
      <c r="D9" s="91">
        <f>1627.911+860.96+14419.362+713.088+7310.77+276.691+946.142-1600</f>
        <v>24554.923999999999</v>
      </c>
      <c r="E9" s="56">
        <f t="shared" si="0"/>
        <v>26154.923999999999</v>
      </c>
    </row>
    <row r="10" spans="1:10" ht="24" customHeight="1" x14ac:dyDescent="0.2">
      <c r="A10" s="35">
        <v>7</v>
      </c>
      <c r="B10" s="36" t="s">
        <v>43</v>
      </c>
      <c r="C10" s="37">
        <v>1600</v>
      </c>
      <c r="D10" s="56">
        <f>1682.174+889.659+15271.481+736.858+7918.858+285.915+829.825-1600</f>
        <v>26014.77</v>
      </c>
      <c r="E10" s="56">
        <f t="shared" si="0"/>
        <v>27614.77</v>
      </c>
    </row>
    <row r="11" spans="1:10" ht="24" customHeight="1" x14ac:dyDescent="0.2">
      <c r="A11" s="35">
        <v>8</v>
      </c>
      <c r="B11" s="36" t="s">
        <v>44</v>
      </c>
      <c r="C11" s="37"/>
      <c r="D11" s="56"/>
      <c r="E11" s="56">
        <f t="shared" si="0"/>
        <v>0</v>
      </c>
    </row>
    <row r="12" spans="1:10" ht="24" customHeight="1" x14ac:dyDescent="0.2">
      <c r="A12" s="35">
        <v>9</v>
      </c>
      <c r="B12" s="36" t="s">
        <v>45</v>
      </c>
      <c r="C12" s="37"/>
      <c r="D12" s="91"/>
      <c r="E12" s="56">
        <f t="shared" si="0"/>
        <v>0</v>
      </c>
    </row>
    <row r="13" spans="1:10" ht="24" customHeight="1" x14ac:dyDescent="0.2">
      <c r="A13" s="35">
        <v>10</v>
      </c>
      <c r="B13" s="36" t="s">
        <v>46</v>
      </c>
      <c r="C13" s="37"/>
      <c r="D13" s="56"/>
      <c r="E13" s="56">
        <f t="shared" si="0"/>
        <v>0</v>
      </c>
    </row>
    <row r="14" spans="1:10" ht="24" customHeight="1" x14ac:dyDescent="0.2">
      <c r="A14" s="35">
        <v>11</v>
      </c>
      <c r="B14" s="36" t="s">
        <v>30</v>
      </c>
      <c r="C14" s="37"/>
      <c r="D14" s="56"/>
      <c r="E14" s="56">
        <f t="shared" si="0"/>
        <v>0</v>
      </c>
    </row>
    <row r="15" spans="1:10" ht="24" customHeight="1" x14ac:dyDescent="0.2">
      <c r="A15" s="35">
        <v>12</v>
      </c>
      <c r="B15" s="36" t="s">
        <v>32</v>
      </c>
      <c r="C15" s="80"/>
      <c r="D15" s="56"/>
      <c r="E15" s="56">
        <f t="shared" si="0"/>
        <v>0</v>
      </c>
    </row>
    <row r="16" spans="1:10" ht="24" customHeight="1" x14ac:dyDescent="0.2">
      <c r="A16" s="35"/>
      <c r="B16" s="36"/>
      <c r="C16" s="37">
        <f>SUM(C4:C15)</f>
        <v>11200</v>
      </c>
      <c r="D16" s="37">
        <f>SUM(D4:D15)</f>
        <v>176264.995</v>
      </c>
      <c r="E16" s="37">
        <f>SUM(E4:E15)</f>
        <v>187464.995</v>
      </c>
    </row>
    <row r="18" spans="3:5" x14ac:dyDescent="0.2">
      <c r="C18" s="79"/>
    </row>
    <row r="20" spans="3:5" x14ac:dyDescent="0.2">
      <c r="C20" s="29"/>
      <c r="E20" s="29"/>
    </row>
    <row r="21" spans="3:5" x14ac:dyDescent="0.2">
      <c r="E21" s="29"/>
    </row>
  </sheetData>
  <phoneticPr fontId="0" type="noConversion"/>
  <pageMargins left="1" right="0.75" top="0.5" bottom="0.5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selection activeCell="M20" sqref="M20"/>
    </sheetView>
  </sheetViews>
  <sheetFormatPr defaultRowHeight="12.75" x14ac:dyDescent="0.2"/>
  <cols>
    <col min="1" max="1" width="4.140625" customWidth="1"/>
    <col min="2" max="2" width="17.7109375" customWidth="1"/>
    <col min="3" max="3" width="10.7109375" customWidth="1"/>
    <col min="5" max="14" width="9.140625" customWidth="1"/>
  </cols>
  <sheetData>
    <row r="1" spans="1:14" x14ac:dyDescent="0.2">
      <c r="A1" t="s">
        <v>88</v>
      </c>
    </row>
    <row r="2" spans="1:14" ht="24" customHeight="1" x14ac:dyDescent="0.2">
      <c r="A2" s="8" t="s">
        <v>11</v>
      </c>
      <c r="B2" s="8" t="s">
        <v>55</v>
      </c>
      <c r="C2" s="53">
        <v>43466</v>
      </c>
      <c r="D2" s="53">
        <v>43497</v>
      </c>
      <c r="E2" s="53">
        <v>43525</v>
      </c>
      <c r="F2" s="53">
        <v>43556</v>
      </c>
      <c r="G2" s="53">
        <v>43586</v>
      </c>
      <c r="H2" s="53">
        <v>43617</v>
      </c>
      <c r="I2" s="53">
        <v>43647</v>
      </c>
      <c r="J2" s="53">
        <v>43678</v>
      </c>
      <c r="K2" s="53">
        <v>43709</v>
      </c>
      <c r="L2" s="53">
        <v>43739</v>
      </c>
      <c r="M2" s="53">
        <v>43770</v>
      </c>
      <c r="N2" s="53">
        <v>43800</v>
      </c>
    </row>
    <row r="3" spans="1:14" ht="24" customHeight="1" x14ac:dyDescent="0.2">
      <c r="A3" s="7">
        <v>1</v>
      </c>
      <c r="B3" s="8" t="s">
        <v>85</v>
      </c>
      <c r="C3" s="34">
        <f>'P&amp;L'!C6</f>
        <v>344423.45299999998</v>
      </c>
      <c r="D3" s="34">
        <f>'P&amp;L'!D6</f>
        <v>688646.57</v>
      </c>
      <c r="E3" s="34">
        <f>'P&amp;L'!E6</f>
        <v>872097.424</v>
      </c>
      <c r="F3" s="34">
        <f>'P&amp;L'!F6</f>
        <v>705935.92300000007</v>
      </c>
      <c r="G3" s="34">
        <f>'P&amp;L'!G6</f>
        <v>750392.80200000003</v>
      </c>
      <c r="H3" s="34">
        <f>'P&amp;L'!H6</f>
        <v>691891.42499999993</v>
      </c>
      <c r="I3" s="34">
        <f>'P&amp;L'!I6</f>
        <v>0</v>
      </c>
      <c r="J3" s="34">
        <f>'P&amp;L'!J6</f>
        <v>0</v>
      </c>
      <c r="K3" s="34">
        <f>'P&amp;L'!K6</f>
        <v>0</v>
      </c>
      <c r="L3" s="34">
        <f>'P&amp;L'!L6</f>
        <v>0</v>
      </c>
      <c r="M3" s="34">
        <f>'P&amp;L'!M6</f>
        <v>0</v>
      </c>
      <c r="N3" s="34">
        <f>'P&amp;L'!N6</f>
        <v>0</v>
      </c>
    </row>
    <row r="4" spans="1:14" ht="24" customHeight="1" x14ac:dyDescent="0.2">
      <c r="A4" s="7">
        <v>2</v>
      </c>
      <c r="B4" s="8" t="s">
        <v>86</v>
      </c>
      <c r="C4" s="34">
        <f>'P&amp;L'!C10</f>
        <v>-23269.638000000021</v>
      </c>
      <c r="D4" s="34">
        <f>'P&amp;L'!D10</f>
        <v>15363.664000000004</v>
      </c>
      <c r="E4" s="34">
        <f>'P&amp;L'!E10</f>
        <v>103535.34299999999</v>
      </c>
      <c r="F4" s="34">
        <f>'P&amp;L'!F10</f>
        <v>103409.23900000009</v>
      </c>
      <c r="G4" s="34">
        <f>'P&amp;L'!G10</f>
        <v>131875.59399999998</v>
      </c>
      <c r="H4" s="34">
        <f>'P&amp;L'!H10</f>
        <v>149244.20899999992</v>
      </c>
      <c r="I4" s="34">
        <f>'P&amp;L'!I10</f>
        <v>0</v>
      </c>
      <c r="J4" s="34">
        <f>'P&amp;L'!J10</f>
        <v>0</v>
      </c>
      <c r="K4" s="34">
        <f>'P&amp;L'!K10</f>
        <v>0</v>
      </c>
      <c r="L4" s="34">
        <f>'P&amp;L'!L10</f>
        <v>0</v>
      </c>
      <c r="M4" s="34">
        <f>'P&amp;L'!M10</f>
        <v>0</v>
      </c>
      <c r="N4" s="34">
        <f>'P&amp;L'!N10</f>
        <v>0</v>
      </c>
    </row>
    <row r="5" spans="1:14" ht="24" customHeight="1" x14ac:dyDescent="0.2">
      <c r="A5" s="7">
        <v>3</v>
      </c>
      <c r="B5" s="8" t="s">
        <v>87</v>
      </c>
      <c r="C5" s="34">
        <f>'P&amp;L'!C19</f>
        <v>-73456.285000000018</v>
      </c>
      <c r="D5" s="34">
        <f>'P&amp;L'!D19</f>
        <v>3749.445999999999</v>
      </c>
      <c r="E5" s="34">
        <f>'P&amp;L'!E19</f>
        <v>138610.57800000001</v>
      </c>
      <c r="F5" s="34">
        <f>'P&amp;L'!F19</f>
        <v>43775.334000000083</v>
      </c>
      <c r="G5" s="34">
        <f>'P&amp;L'!G19</f>
        <v>66475.165999999997</v>
      </c>
      <c r="H5" s="34">
        <f>'P&amp;L'!H19</f>
        <v>130967.06999999993</v>
      </c>
      <c r="I5" s="34">
        <f>'P&amp;L'!I19</f>
        <v>0</v>
      </c>
      <c r="J5" s="34">
        <f>'P&amp;L'!J19</f>
        <v>0</v>
      </c>
      <c r="K5" s="34">
        <f>'P&amp;L'!K19</f>
        <v>0</v>
      </c>
      <c r="L5" s="34">
        <f>'P&amp;L'!L19</f>
        <v>0</v>
      </c>
      <c r="M5" s="34">
        <f>'P&amp;L'!M19</f>
        <v>0</v>
      </c>
      <c r="N5" s="34">
        <f>'P&amp;L'!N19</f>
        <v>0</v>
      </c>
    </row>
  </sheetData>
  <phoneticPr fontId="0" type="noConversion"/>
  <pageMargins left="0.25" right="0.25" top="1" bottom="0.5" header="0.5" footer="0.5"/>
  <pageSetup scale="9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DE36-2683-499E-9323-C2CAAEE05D26}">
  <dimension ref="A1:M221"/>
  <sheetViews>
    <sheetView workbookViewId="0">
      <selection activeCell="N16" sqref="N16"/>
    </sheetView>
  </sheetViews>
  <sheetFormatPr defaultRowHeight="12.75" x14ac:dyDescent="0.2"/>
  <cols>
    <col min="5" max="5" width="12.5703125" customWidth="1"/>
    <col min="6" max="6" width="52.5703125" customWidth="1"/>
    <col min="7" max="8" width="19.42578125" customWidth="1"/>
    <col min="13" max="13" width="14.85546875" customWidth="1"/>
    <col min="259" max="259" width="12.5703125" customWidth="1"/>
    <col min="260" max="260" width="38.42578125" customWidth="1"/>
    <col min="261" max="261" width="19.42578125" customWidth="1"/>
    <col min="515" max="515" width="12.5703125" customWidth="1"/>
    <col min="516" max="516" width="38.42578125" customWidth="1"/>
    <col min="517" max="517" width="19.42578125" customWidth="1"/>
    <col min="771" max="771" width="12.5703125" customWidth="1"/>
    <col min="772" max="772" width="38.42578125" customWidth="1"/>
    <col min="773" max="773" width="19.42578125" customWidth="1"/>
    <col min="1027" max="1027" width="12.5703125" customWidth="1"/>
    <col min="1028" max="1028" width="38.42578125" customWidth="1"/>
    <col min="1029" max="1029" width="19.42578125" customWidth="1"/>
    <col min="1283" max="1283" width="12.5703125" customWidth="1"/>
    <col min="1284" max="1284" width="38.42578125" customWidth="1"/>
    <col min="1285" max="1285" width="19.42578125" customWidth="1"/>
    <col min="1539" max="1539" width="12.5703125" customWidth="1"/>
    <col min="1540" max="1540" width="38.42578125" customWidth="1"/>
    <col min="1541" max="1541" width="19.42578125" customWidth="1"/>
    <col min="1795" max="1795" width="12.5703125" customWidth="1"/>
    <col min="1796" max="1796" width="38.42578125" customWidth="1"/>
    <col min="1797" max="1797" width="19.42578125" customWidth="1"/>
    <col min="2051" max="2051" width="12.5703125" customWidth="1"/>
    <col min="2052" max="2052" width="38.42578125" customWidth="1"/>
    <col min="2053" max="2053" width="19.42578125" customWidth="1"/>
    <col min="2307" max="2307" width="12.5703125" customWidth="1"/>
    <col min="2308" max="2308" width="38.42578125" customWidth="1"/>
    <col min="2309" max="2309" width="19.42578125" customWidth="1"/>
    <col min="2563" max="2563" width="12.5703125" customWidth="1"/>
    <col min="2564" max="2564" width="38.42578125" customWidth="1"/>
    <col min="2565" max="2565" width="19.42578125" customWidth="1"/>
    <col min="2819" max="2819" width="12.5703125" customWidth="1"/>
    <col min="2820" max="2820" width="38.42578125" customWidth="1"/>
    <col min="2821" max="2821" width="19.42578125" customWidth="1"/>
    <col min="3075" max="3075" width="12.5703125" customWidth="1"/>
    <col min="3076" max="3076" width="38.42578125" customWidth="1"/>
    <col min="3077" max="3077" width="19.42578125" customWidth="1"/>
    <col min="3331" max="3331" width="12.5703125" customWidth="1"/>
    <col min="3332" max="3332" width="38.42578125" customWidth="1"/>
    <col min="3333" max="3333" width="19.42578125" customWidth="1"/>
    <col min="3587" max="3587" width="12.5703125" customWidth="1"/>
    <col min="3588" max="3588" width="38.42578125" customWidth="1"/>
    <col min="3589" max="3589" width="19.42578125" customWidth="1"/>
    <col min="3843" max="3843" width="12.5703125" customWidth="1"/>
    <col min="3844" max="3844" width="38.42578125" customWidth="1"/>
    <col min="3845" max="3845" width="19.42578125" customWidth="1"/>
    <col min="4099" max="4099" width="12.5703125" customWidth="1"/>
    <col min="4100" max="4100" width="38.42578125" customWidth="1"/>
    <col min="4101" max="4101" width="19.42578125" customWidth="1"/>
    <col min="4355" max="4355" width="12.5703125" customWidth="1"/>
    <col min="4356" max="4356" width="38.42578125" customWidth="1"/>
    <col min="4357" max="4357" width="19.42578125" customWidth="1"/>
    <col min="4611" max="4611" width="12.5703125" customWidth="1"/>
    <col min="4612" max="4612" width="38.42578125" customWidth="1"/>
    <col min="4613" max="4613" width="19.42578125" customWidth="1"/>
    <col min="4867" max="4867" width="12.5703125" customWidth="1"/>
    <col min="4868" max="4868" width="38.42578125" customWidth="1"/>
    <col min="4869" max="4869" width="19.42578125" customWidth="1"/>
    <col min="5123" max="5123" width="12.5703125" customWidth="1"/>
    <col min="5124" max="5124" width="38.42578125" customWidth="1"/>
    <col min="5125" max="5125" width="19.42578125" customWidth="1"/>
    <col min="5379" max="5379" width="12.5703125" customWidth="1"/>
    <col min="5380" max="5380" width="38.42578125" customWidth="1"/>
    <col min="5381" max="5381" width="19.42578125" customWidth="1"/>
    <col min="5635" max="5635" width="12.5703125" customWidth="1"/>
    <col min="5636" max="5636" width="38.42578125" customWidth="1"/>
    <col min="5637" max="5637" width="19.42578125" customWidth="1"/>
    <col min="5891" max="5891" width="12.5703125" customWidth="1"/>
    <col min="5892" max="5892" width="38.42578125" customWidth="1"/>
    <col min="5893" max="5893" width="19.42578125" customWidth="1"/>
    <col min="6147" max="6147" width="12.5703125" customWidth="1"/>
    <col min="6148" max="6148" width="38.42578125" customWidth="1"/>
    <col min="6149" max="6149" width="19.42578125" customWidth="1"/>
    <col min="6403" max="6403" width="12.5703125" customWidth="1"/>
    <col min="6404" max="6404" width="38.42578125" customWidth="1"/>
    <col min="6405" max="6405" width="19.42578125" customWidth="1"/>
    <col min="6659" max="6659" width="12.5703125" customWidth="1"/>
    <col min="6660" max="6660" width="38.42578125" customWidth="1"/>
    <col min="6661" max="6661" width="19.42578125" customWidth="1"/>
    <col min="6915" max="6915" width="12.5703125" customWidth="1"/>
    <col min="6916" max="6916" width="38.42578125" customWidth="1"/>
    <col min="6917" max="6917" width="19.42578125" customWidth="1"/>
    <col min="7171" max="7171" width="12.5703125" customWidth="1"/>
    <col min="7172" max="7172" width="38.42578125" customWidth="1"/>
    <col min="7173" max="7173" width="19.42578125" customWidth="1"/>
    <col min="7427" max="7427" width="12.5703125" customWidth="1"/>
    <col min="7428" max="7428" width="38.42578125" customWidth="1"/>
    <col min="7429" max="7429" width="19.42578125" customWidth="1"/>
    <col min="7683" max="7683" width="12.5703125" customWidth="1"/>
    <col min="7684" max="7684" width="38.42578125" customWidth="1"/>
    <col min="7685" max="7685" width="19.42578125" customWidth="1"/>
    <col min="7939" max="7939" width="12.5703125" customWidth="1"/>
    <col min="7940" max="7940" width="38.42578125" customWidth="1"/>
    <col min="7941" max="7941" width="19.42578125" customWidth="1"/>
    <col min="8195" max="8195" width="12.5703125" customWidth="1"/>
    <col min="8196" max="8196" width="38.42578125" customWidth="1"/>
    <col min="8197" max="8197" width="19.42578125" customWidth="1"/>
    <col min="8451" max="8451" width="12.5703125" customWidth="1"/>
    <col min="8452" max="8452" width="38.42578125" customWidth="1"/>
    <col min="8453" max="8453" width="19.42578125" customWidth="1"/>
    <col min="8707" max="8707" width="12.5703125" customWidth="1"/>
    <col min="8708" max="8708" width="38.42578125" customWidth="1"/>
    <col min="8709" max="8709" width="19.42578125" customWidth="1"/>
    <col min="8963" max="8963" width="12.5703125" customWidth="1"/>
    <col min="8964" max="8964" width="38.42578125" customWidth="1"/>
    <col min="8965" max="8965" width="19.42578125" customWidth="1"/>
    <col min="9219" max="9219" width="12.5703125" customWidth="1"/>
    <col min="9220" max="9220" width="38.42578125" customWidth="1"/>
    <col min="9221" max="9221" width="19.42578125" customWidth="1"/>
    <col min="9475" max="9475" width="12.5703125" customWidth="1"/>
    <col min="9476" max="9476" width="38.42578125" customWidth="1"/>
    <col min="9477" max="9477" width="19.42578125" customWidth="1"/>
    <col min="9731" max="9731" width="12.5703125" customWidth="1"/>
    <col min="9732" max="9732" width="38.42578125" customWidth="1"/>
    <col min="9733" max="9733" width="19.42578125" customWidth="1"/>
    <col min="9987" max="9987" width="12.5703125" customWidth="1"/>
    <col min="9988" max="9988" width="38.42578125" customWidth="1"/>
    <col min="9989" max="9989" width="19.42578125" customWidth="1"/>
    <col min="10243" max="10243" width="12.5703125" customWidth="1"/>
    <col min="10244" max="10244" width="38.42578125" customWidth="1"/>
    <col min="10245" max="10245" width="19.42578125" customWidth="1"/>
    <col min="10499" max="10499" width="12.5703125" customWidth="1"/>
    <col min="10500" max="10500" width="38.42578125" customWidth="1"/>
    <col min="10501" max="10501" width="19.42578125" customWidth="1"/>
    <col min="10755" max="10755" width="12.5703125" customWidth="1"/>
    <col min="10756" max="10756" width="38.42578125" customWidth="1"/>
    <col min="10757" max="10757" width="19.42578125" customWidth="1"/>
    <col min="11011" max="11011" width="12.5703125" customWidth="1"/>
    <col min="11012" max="11012" width="38.42578125" customWidth="1"/>
    <col min="11013" max="11013" width="19.42578125" customWidth="1"/>
    <col min="11267" max="11267" width="12.5703125" customWidth="1"/>
    <col min="11268" max="11268" width="38.42578125" customWidth="1"/>
    <col min="11269" max="11269" width="19.42578125" customWidth="1"/>
    <col min="11523" max="11523" width="12.5703125" customWidth="1"/>
    <col min="11524" max="11524" width="38.42578125" customWidth="1"/>
    <col min="11525" max="11525" width="19.42578125" customWidth="1"/>
    <col min="11779" max="11779" width="12.5703125" customWidth="1"/>
    <col min="11780" max="11780" width="38.42578125" customWidth="1"/>
    <col min="11781" max="11781" width="19.42578125" customWidth="1"/>
    <col min="12035" max="12035" width="12.5703125" customWidth="1"/>
    <col min="12036" max="12036" width="38.42578125" customWidth="1"/>
    <col min="12037" max="12037" width="19.42578125" customWidth="1"/>
    <col min="12291" max="12291" width="12.5703125" customWidth="1"/>
    <col min="12292" max="12292" width="38.42578125" customWidth="1"/>
    <col min="12293" max="12293" width="19.42578125" customWidth="1"/>
    <col min="12547" max="12547" width="12.5703125" customWidth="1"/>
    <col min="12548" max="12548" width="38.42578125" customWidth="1"/>
    <col min="12549" max="12549" width="19.42578125" customWidth="1"/>
    <col min="12803" max="12803" width="12.5703125" customWidth="1"/>
    <col min="12804" max="12804" width="38.42578125" customWidth="1"/>
    <col min="12805" max="12805" width="19.42578125" customWidth="1"/>
    <col min="13059" max="13059" width="12.5703125" customWidth="1"/>
    <col min="13060" max="13060" width="38.42578125" customWidth="1"/>
    <col min="13061" max="13061" width="19.42578125" customWidth="1"/>
    <col min="13315" max="13315" width="12.5703125" customWidth="1"/>
    <col min="13316" max="13316" width="38.42578125" customWidth="1"/>
    <col min="13317" max="13317" width="19.42578125" customWidth="1"/>
    <col min="13571" max="13571" width="12.5703125" customWidth="1"/>
    <col min="13572" max="13572" width="38.42578125" customWidth="1"/>
    <col min="13573" max="13573" width="19.42578125" customWidth="1"/>
    <col min="13827" max="13827" width="12.5703125" customWidth="1"/>
    <col min="13828" max="13828" width="38.42578125" customWidth="1"/>
    <col min="13829" max="13829" width="19.42578125" customWidth="1"/>
    <col min="14083" max="14083" width="12.5703125" customWidth="1"/>
    <col min="14084" max="14084" width="38.42578125" customWidth="1"/>
    <col min="14085" max="14085" width="19.42578125" customWidth="1"/>
    <col min="14339" max="14339" width="12.5703125" customWidth="1"/>
    <col min="14340" max="14340" width="38.42578125" customWidth="1"/>
    <col min="14341" max="14341" width="19.42578125" customWidth="1"/>
    <col min="14595" max="14595" width="12.5703125" customWidth="1"/>
    <col min="14596" max="14596" width="38.42578125" customWidth="1"/>
    <col min="14597" max="14597" width="19.42578125" customWidth="1"/>
    <col min="14851" max="14851" width="12.5703125" customWidth="1"/>
    <col min="14852" max="14852" width="38.42578125" customWidth="1"/>
    <col min="14853" max="14853" width="19.42578125" customWidth="1"/>
    <col min="15107" max="15107" width="12.5703125" customWidth="1"/>
    <col min="15108" max="15108" width="38.42578125" customWidth="1"/>
    <col min="15109" max="15109" width="19.42578125" customWidth="1"/>
    <col min="15363" max="15363" width="12.5703125" customWidth="1"/>
    <col min="15364" max="15364" width="38.42578125" customWidth="1"/>
    <col min="15365" max="15365" width="19.42578125" customWidth="1"/>
    <col min="15619" max="15619" width="12.5703125" customWidth="1"/>
    <col min="15620" max="15620" width="38.42578125" customWidth="1"/>
    <col min="15621" max="15621" width="19.42578125" customWidth="1"/>
    <col min="15875" max="15875" width="12.5703125" customWidth="1"/>
    <col min="15876" max="15876" width="38.42578125" customWidth="1"/>
    <col min="15877" max="15877" width="19.42578125" customWidth="1"/>
    <col min="16131" max="16131" width="12.5703125" customWidth="1"/>
    <col min="16132" max="16132" width="38.42578125" customWidth="1"/>
    <col min="16133" max="16133" width="19.42578125" customWidth="1"/>
  </cols>
  <sheetData>
    <row r="1" spans="1:13" x14ac:dyDescent="0.2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 spans="1:13" x14ac:dyDescent="0.2">
      <c r="A2" t="s">
        <v>226</v>
      </c>
      <c r="B2" t="s">
        <v>226</v>
      </c>
      <c r="C2" t="s">
        <v>226</v>
      </c>
      <c r="D2" t="s">
        <v>226</v>
      </c>
      <c r="E2" t="s">
        <v>226</v>
      </c>
      <c r="F2" t="s">
        <v>227</v>
      </c>
      <c r="G2" t="s">
        <v>226</v>
      </c>
      <c r="H2">
        <v>0</v>
      </c>
    </row>
    <row r="3" spans="1:13" x14ac:dyDescent="0.2">
      <c r="A3" t="s">
        <v>228</v>
      </c>
      <c r="B3" t="s">
        <v>226</v>
      </c>
      <c r="C3" t="s">
        <v>226</v>
      </c>
      <c r="D3" t="s">
        <v>226</v>
      </c>
      <c r="E3" t="s">
        <v>226</v>
      </c>
      <c r="F3" t="s">
        <v>229</v>
      </c>
      <c r="G3" t="s">
        <v>226</v>
      </c>
      <c r="H3">
        <v>0</v>
      </c>
    </row>
    <row r="4" spans="1:13" x14ac:dyDescent="0.2">
      <c r="A4" t="s">
        <v>226</v>
      </c>
      <c r="B4" t="s">
        <v>230</v>
      </c>
      <c r="C4" t="s">
        <v>231</v>
      </c>
      <c r="D4" t="s">
        <v>230</v>
      </c>
      <c r="E4" t="s">
        <v>231</v>
      </c>
      <c r="F4" t="s">
        <v>232</v>
      </c>
      <c r="G4" t="s">
        <v>233</v>
      </c>
      <c r="H4">
        <v>124800</v>
      </c>
    </row>
    <row r="5" spans="1:13" x14ac:dyDescent="0.2">
      <c r="A5" t="s">
        <v>226</v>
      </c>
      <c r="B5" t="s">
        <v>230</v>
      </c>
      <c r="C5" t="s">
        <v>234</v>
      </c>
      <c r="D5" t="s">
        <v>230</v>
      </c>
      <c r="E5" t="s">
        <v>234</v>
      </c>
      <c r="F5" t="s">
        <v>235</v>
      </c>
      <c r="G5" t="s">
        <v>233</v>
      </c>
      <c r="H5">
        <v>69928.953999999998</v>
      </c>
    </row>
    <row r="6" spans="1:13" x14ac:dyDescent="0.2">
      <c r="A6" t="s">
        <v>226</v>
      </c>
      <c r="B6" t="s">
        <v>230</v>
      </c>
      <c r="C6" t="s">
        <v>236</v>
      </c>
      <c r="D6" t="s">
        <v>230</v>
      </c>
      <c r="E6" t="s">
        <v>236</v>
      </c>
      <c r="F6" t="s">
        <v>237</v>
      </c>
      <c r="G6" t="s">
        <v>233</v>
      </c>
      <c r="H6">
        <v>1446048.5689999999</v>
      </c>
    </row>
    <row r="7" spans="1:13" x14ac:dyDescent="0.2">
      <c r="A7" t="s">
        <v>226</v>
      </c>
      <c r="B7" t="s">
        <v>230</v>
      </c>
      <c r="C7" t="s">
        <v>238</v>
      </c>
      <c r="D7" t="s">
        <v>230</v>
      </c>
      <c r="E7" t="s">
        <v>238</v>
      </c>
      <c r="F7" t="s">
        <v>239</v>
      </c>
      <c r="G7" t="s">
        <v>233</v>
      </c>
      <c r="H7">
        <v>598362.77</v>
      </c>
    </row>
    <row r="8" spans="1:13" x14ac:dyDescent="0.2">
      <c r="A8" t="s">
        <v>226</v>
      </c>
      <c r="B8" t="s">
        <v>230</v>
      </c>
      <c r="C8" t="s">
        <v>240</v>
      </c>
      <c r="D8" t="s">
        <v>230</v>
      </c>
      <c r="E8" t="s">
        <v>240</v>
      </c>
      <c r="F8" t="s">
        <v>241</v>
      </c>
      <c r="G8" t="s">
        <v>233</v>
      </c>
      <c r="H8">
        <v>55608.964999999997</v>
      </c>
    </row>
    <row r="9" spans="1:13" x14ac:dyDescent="0.2">
      <c r="A9" t="s">
        <v>226</v>
      </c>
      <c r="B9" t="s">
        <v>242</v>
      </c>
      <c r="C9" t="s">
        <v>243</v>
      </c>
      <c r="D9" t="s">
        <v>242</v>
      </c>
      <c r="E9" t="s">
        <v>243</v>
      </c>
      <c r="F9" t="s">
        <v>244</v>
      </c>
      <c r="G9" t="s">
        <v>233</v>
      </c>
      <c r="H9">
        <v>1772189.4609999999</v>
      </c>
    </row>
    <row r="10" spans="1:13" ht="18" x14ac:dyDescent="0.25">
      <c r="A10" t="s">
        <v>226</v>
      </c>
      <c r="B10" t="s">
        <v>230</v>
      </c>
      <c r="C10" t="s">
        <v>243</v>
      </c>
      <c r="D10" t="s">
        <v>230</v>
      </c>
      <c r="E10" t="s">
        <v>243</v>
      </c>
      <c r="F10" t="s">
        <v>245</v>
      </c>
      <c r="G10" t="s">
        <v>233</v>
      </c>
      <c r="H10">
        <v>8775.1479999999992</v>
      </c>
      <c r="M10" s="181" t="s">
        <v>607</v>
      </c>
    </row>
    <row r="11" spans="1:13" x14ac:dyDescent="0.2">
      <c r="A11" t="s">
        <v>228</v>
      </c>
      <c r="B11" t="s">
        <v>226</v>
      </c>
      <c r="C11" t="s">
        <v>226</v>
      </c>
      <c r="D11" t="s">
        <v>226</v>
      </c>
      <c r="E11" t="s">
        <v>226</v>
      </c>
      <c r="F11" t="s">
        <v>246</v>
      </c>
      <c r="G11" t="s">
        <v>226</v>
      </c>
      <c r="H11">
        <v>0</v>
      </c>
    </row>
    <row r="12" spans="1:13" x14ac:dyDescent="0.2">
      <c r="A12" t="s">
        <v>247</v>
      </c>
      <c r="B12" t="s">
        <v>226</v>
      </c>
      <c r="C12" t="s">
        <v>226</v>
      </c>
      <c r="D12" t="s">
        <v>226</v>
      </c>
      <c r="E12" t="s">
        <v>226</v>
      </c>
      <c r="F12" t="s">
        <v>248</v>
      </c>
      <c r="G12" t="s">
        <v>226</v>
      </c>
      <c r="H12">
        <v>0</v>
      </c>
    </row>
    <row r="13" spans="1:13" x14ac:dyDescent="0.2">
      <c r="A13" t="s">
        <v>226</v>
      </c>
      <c r="B13" t="s">
        <v>242</v>
      </c>
      <c r="C13" t="s">
        <v>249</v>
      </c>
      <c r="D13" t="s">
        <v>242</v>
      </c>
      <c r="E13" t="s">
        <v>249</v>
      </c>
      <c r="F13" t="s">
        <v>250</v>
      </c>
      <c r="G13" t="s">
        <v>233</v>
      </c>
      <c r="H13">
        <v>1175103.4939999999</v>
      </c>
    </row>
    <row r="14" spans="1:13" x14ac:dyDescent="0.2">
      <c r="A14" t="s">
        <v>226</v>
      </c>
      <c r="B14" t="s">
        <v>242</v>
      </c>
      <c r="C14" t="s">
        <v>251</v>
      </c>
      <c r="D14" t="s">
        <v>242</v>
      </c>
      <c r="E14" t="s">
        <v>251</v>
      </c>
      <c r="F14" t="s">
        <v>252</v>
      </c>
      <c r="G14" t="s">
        <v>233</v>
      </c>
      <c r="H14">
        <v>-13130249.346000001</v>
      </c>
    </row>
    <row r="15" spans="1:13" x14ac:dyDescent="0.2">
      <c r="A15" t="s">
        <v>226</v>
      </c>
      <c r="B15" t="s">
        <v>242</v>
      </c>
      <c r="C15" t="s">
        <v>253</v>
      </c>
      <c r="D15" t="s">
        <v>242</v>
      </c>
      <c r="E15" t="s">
        <v>253</v>
      </c>
      <c r="F15" t="s">
        <v>254</v>
      </c>
      <c r="G15" t="s">
        <v>233</v>
      </c>
      <c r="H15">
        <v>13105114.062000001</v>
      </c>
      <c r="I15">
        <f>SUM(H13:H15)</f>
        <v>1149968.209999999</v>
      </c>
      <c r="J15">
        <v>1149601</v>
      </c>
      <c r="K15">
        <f>J15-I15</f>
        <v>-367.20999999903142</v>
      </c>
      <c r="L15" t="s">
        <v>599</v>
      </c>
    </row>
    <row r="16" spans="1:13" x14ac:dyDescent="0.2">
      <c r="A16" t="s">
        <v>247</v>
      </c>
      <c r="B16" t="s">
        <v>226</v>
      </c>
      <c r="C16" t="s">
        <v>226</v>
      </c>
      <c r="D16" t="s">
        <v>226</v>
      </c>
      <c r="E16" t="s">
        <v>226</v>
      </c>
      <c r="F16" t="s">
        <v>255</v>
      </c>
      <c r="G16" t="s">
        <v>226</v>
      </c>
      <c r="H16">
        <v>0</v>
      </c>
    </row>
    <row r="17" spans="1:8" x14ac:dyDescent="0.2">
      <c r="A17" t="s">
        <v>226</v>
      </c>
      <c r="B17" t="s">
        <v>230</v>
      </c>
      <c r="C17" t="s">
        <v>256</v>
      </c>
      <c r="D17" t="s">
        <v>230</v>
      </c>
      <c r="E17" t="s">
        <v>256</v>
      </c>
      <c r="F17" t="s">
        <v>257</v>
      </c>
      <c r="G17" t="s">
        <v>233</v>
      </c>
      <c r="H17">
        <v>2</v>
      </c>
    </row>
    <row r="18" spans="1:8" x14ac:dyDescent="0.2">
      <c r="A18" t="s">
        <v>226</v>
      </c>
      <c r="B18" t="s">
        <v>230</v>
      </c>
      <c r="C18" t="s">
        <v>258</v>
      </c>
      <c r="D18" t="s">
        <v>230</v>
      </c>
      <c r="E18" t="s">
        <v>258</v>
      </c>
      <c r="F18" t="s">
        <v>259</v>
      </c>
      <c r="G18" t="s">
        <v>233</v>
      </c>
      <c r="H18">
        <v>3009.0320000000002</v>
      </c>
    </row>
    <row r="19" spans="1:8" x14ac:dyDescent="0.2">
      <c r="A19" t="s">
        <v>226</v>
      </c>
      <c r="B19" t="s">
        <v>230</v>
      </c>
      <c r="C19" t="s">
        <v>260</v>
      </c>
      <c r="D19" t="s">
        <v>230</v>
      </c>
      <c r="E19" t="s">
        <v>260</v>
      </c>
      <c r="F19" t="s">
        <v>261</v>
      </c>
      <c r="G19" t="s">
        <v>233</v>
      </c>
      <c r="H19">
        <v>35238.911</v>
      </c>
    </row>
    <row r="20" spans="1:8" x14ac:dyDescent="0.2">
      <c r="A20" t="s">
        <v>226</v>
      </c>
      <c r="B20" t="s">
        <v>230</v>
      </c>
      <c r="C20" t="s">
        <v>262</v>
      </c>
      <c r="D20" t="s">
        <v>230</v>
      </c>
      <c r="E20" t="s">
        <v>262</v>
      </c>
      <c r="F20" t="s">
        <v>263</v>
      </c>
      <c r="G20" t="s">
        <v>233</v>
      </c>
      <c r="H20">
        <v>76774.611999999994</v>
      </c>
    </row>
    <row r="21" spans="1:8" x14ac:dyDescent="0.2">
      <c r="A21" t="s">
        <v>247</v>
      </c>
      <c r="B21" t="s">
        <v>226</v>
      </c>
      <c r="C21" t="s">
        <v>226</v>
      </c>
      <c r="D21" t="s">
        <v>226</v>
      </c>
      <c r="E21" t="s">
        <v>226</v>
      </c>
      <c r="F21" t="s">
        <v>264</v>
      </c>
      <c r="G21" t="s">
        <v>226</v>
      </c>
      <c r="H21">
        <v>0</v>
      </c>
    </row>
    <row r="22" spans="1:8" x14ac:dyDescent="0.2">
      <c r="A22" t="s">
        <v>226</v>
      </c>
      <c r="B22" t="s">
        <v>230</v>
      </c>
      <c r="C22" t="s">
        <v>265</v>
      </c>
      <c r="D22" t="s">
        <v>230</v>
      </c>
      <c r="E22" t="s">
        <v>265</v>
      </c>
      <c r="F22" t="s">
        <v>266</v>
      </c>
      <c r="G22" t="s">
        <v>233</v>
      </c>
      <c r="H22">
        <v>350000</v>
      </c>
    </row>
    <row r="23" spans="1:8" x14ac:dyDescent="0.2">
      <c r="A23" t="s">
        <v>226</v>
      </c>
      <c r="B23" t="s">
        <v>230</v>
      </c>
      <c r="C23" t="s">
        <v>267</v>
      </c>
      <c r="D23" t="s">
        <v>230</v>
      </c>
      <c r="E23" t="s">
        <v>267</v>
      </c>
      <c r="F23" t="s">
        <v>268</v>
      </c>
      <c r="G23" t="s">
        <v>233</v>
      </c>
      <c r="H23">
        <v>188352.5</v>
      </c>
    </row>
    <row r="24" spans="1:8" x14ac:dyDescent="0.2">
      <c r="A24" t="s">
        <v>226</v>
      </c>
      <c r="B24" t="s">
        <v>230</v>
      </c>
      <c r="C24" t="s">
        <v>269</v>
      </c>
      <c r="D24" t="s">
        <v>230</v>
      </c>
      <c r="E24" t="s">
        <v>269</v>
      </c>
      <c r="F24" t="s">
        <v>270</v>
      </c>
      <c r="G24" t="s">
        <v>233</v>
      </c>
      <c r="H24">
        <v>325260</v>
      </c>
    </row>
    <row r="25" spans="1:8" x14ac:dyDescent="0.2">
      <c r="A25" t="s">
        <v>226</v>
      </c>
      <c r="B25" t="s">
        <v>230</v>
      </c>
      <c r="C25" t="s">
        <v>271</v>
      </c>
      <c r="D25" t="s">
        <v>230</v>
      </c>
      <c r="E25" t="s">
        <v>271</v>
      </c>
      <c r="F25" t="s">
        <v>272</v>
      </c>
      <c r="G25" t="s">
        <v>233</v>
      </c>
      <c r="H25">
        <v>1035500</v>
      </c>
    </row>
    <row r="26" spans="1:8" x14ac:dyDescent="0.2">
      <c r="A26" t="s">
        <v>226</v>
      </c>
      <c r="B26" t="s">
        <v>230</v>
      </c>
      <c r="C26" t="s">
        <v>273</v>
      </c>
      <c r="D26" t="s">
        <v>230</v>
      </c>
      <c r="E26" t="s">
        <v>273</v>
      </c>
      <c r="F26" t="s">
        <v>274</v>
      </c>
      <c r="G26" t="s">
        <v>233</v>
      </c>
      <c r="H26">
        <v>230000</v>
      </c>
    </row>
    <row r="27" spans="1:8" x14ac:dyDescent="0.2">
      <c r="A27" t="s">
        <v>247</v>
      </c>
      <c r="B27" t="s">
        <v>226</v>
      </c>
      <c r="C27" t="s">
        <v>226</v>
      </c>
      <c r="D27" t="s">
        <v>226</v>
      </c>
      <c r="E27" t="s">
        <v>226</v>
      </c>
      <c r="F27" t="s">
        <v>275</v>
      </c>
      <c r="G27" t="s">
        <v>226</v>
      </c>
      <c r="H27">
        <v>0</v>
      </c>
    </row>
    <row r="28" spans="1:8" x14ac:dyDescent="0.2">
      <c r="A28" t="s">
        <v>226</v>
      </c>
      <c r="B28" t="s">
        <v>276</v>
      </c>
      <c r="C28" t="s">
        <v>277</v>
      </c>
      <c r="D28" t="s">
        <v>276</v>
      </c>
      <c r="E28" t="s">
        <v>277</v>
      </c>
      <c r="F28" t="s">
        <v>278</v>
      </c>
      <c r="G28" t="s">
        <v>233</v>
      </c>
      <c r="H28">
        <v>765507.68799999997</v>
      </c>
    </row>
    <row r="29" spans="1:8" x14ac:dyDescent="0.2">
      <c r="A29" t="s">
        <v>226</v>
      </c>
      <c r="B29" t="s">
        <v>230</v>
      </c>
      <c r="C29" t="s">
        <v>279</v>
      </c>
      <c r="D29" t="s">
        <v>230</v>
      </c>
      <c r="E29" t="s">
        <v>279</v>
      </c>
      <c r="F29" t="s">
        <v>280</v>
      </c>
      <c r="G29" t="s">
        <v>233</v>
      </c>
      <c r="H29">
        <v>12778.2</v>
      </c>
    </row>
    <row r="30" spans="1:8" x14ac:dyDescent="0.2">
      <c r="A30" t="s">
        <v>226</v>
      </c>
      <c r="B30" t="s">
        <v>230</v>
      </c>
      <c r="C30" t="s">
        <v>281</v>
      </c>
      <c r="D30" t="s">
        <v>230</v>
      </c>
      <c r="E30" t="s">
        <v>281</v>
      </c>
      <c r="F30" t="s">
        <v>282</v>
      </c>
      <c r="G30" t="s">
        <v>233</v>
      </c>
      <c r="H30">
        <v>29049.280999999999</v>
      </c>
    </row>
    <row r="31" spans="1:8" x14ac:dyDescent="0.2">
      <c r="A31" t="s">
        <v>226</v>
      </c>
      <c r="B31" t="s">
        <v>230</v>
      </c>
      <c r="C31" t="s">
        <v>283</v>
      </c>
      <c r="D31" t="s">
        <v>230</v>
      </c>
      <c r="E31" t="s">
        <v>283</v>
      </c>
      <c r="F31" t="s">
        <v>284</v>
      </c>
      <c r="G31" t="s">
        <v>233</v>
      </c>
      <c r="H31">
        <v>4280</v>
      </c>
    </row>
    <row r="32" spans="1:8" x14ac:dyDescent="0.2">
      <c r="A32" t="s">
        <v>226</v>
      </c>
      <c r="B32" t="s">
        <v>242</v>
      </c>
      <c r="C32" t="s">
        <v>285</v>
      </c>
      <c r="D32" t="s">
        <v>242</v>
      </c>
      <c r="E32" t="s">
        <v>285</v>
      </c>
      <c r="F32" t="s">
        <v>286</v>
      </c>
      <c r="G32" t="s">
        <v>233</v>
      </c>
      <c r="H32">
        <v>550</v>
      </c>
    </row>
    <row r="33" spans="1:8" x14ac:dyDescent="0.2">
      <c r="A33" t="s">
        <v>226</v>
      </c>
      <c r="B33" t="s">
        <v>242</v>
      </c>
      <c r="C33" t="s">
        <v>287</v>
      </c>
      <c r="D33" t="s">
        <v>242</v>
      </c>
      <c r="E33" t="s">
        <v>287</v>
      </c>
      <c r="F33" t="s">
        <v>286</v>
      </c>
      <c r="G33" t="s">
        <v>233</v>
      </c>
      <c r="H33">
        <v>250</v>
      </c>
    </row>
    <row r="34" spans="1:8" x14ac:dyDescent="0.2">
      <c r="A34" t="s">
        <v>226</v>
      </c>
      <c r="B34" t="s">
        <v>242</v>
      </c>
      <c r="C34" t="s">
        <v>288</v>
      </c>
      <c r="D34" t="s">
        <v>242</v>
      </c>
      <c r="E34" t="s">
        <v>288</v>
      </c>
      <c r="F34" t="s">
        <v>286</v>
      </c>
      <c r="G34" t="s">
        <v>233</v>
      </c>
      <c r="H34">
        <v>536.11800000000005</v>
      </c>
    </row>
    <row r="35" spans="1:8" x14ac:dyDescent="0.2">
      <c r="A35" t="s">
        <v>226</v>
      </c>
      <c r="B35" t="s">
        <v>242</v>
      </c>
      <c r="C35" t="s">
        <v>289</v>
      </c>
      <c r="D35" t="s">
        <v>242</v>
      </c>
      <c r="E35" t="s">
        <v>289</v>
      </c>
      <c r="F35" t="s">
        <v>286</v>
      </c>
      <c r="G35" t="s">
        <v>233</v>
      </c>
      <c r="H35">
        <v>3018.6849999999999</v>
      </c>
    </row>
    <row r="36" spans="1:8" x14ac:dyDescent="0.2">
      <c r="A36" t="s">
        <v>226</v>
      </c>
      <c r="B36" t="s">
        <v>242</v>
      </c>
      <c r="C36" t="s">
        <v>290</v>
      </c>
      <c r="D36" t="s">
        <v>242</v>
      </c>
      <c r="E36" t="s">
        <v>290</v>
      </c>
      <c r="F36" t="s">
        <v>286</v>
      </c>
      <c r="G36" t="s">
        <v>233</v>
      </c>
      <c r="H36">
        <v>3473.6959999999999</v>
      </c>
    </row>
    <row r="37" spans="1:8" x14ac:dyDescent="0.2">
      <c r="A37" t="s">
        <v>226</v>
      </c>
      <c r="B37" t="s">
        <v>242</v>
      </c>
      <c r="C37" t="s">
        <v>291</v>
      </c>
      <c r="D37" t="s">
        <v>242</v>
      </c>
      <c r="E37" t="s">
        <v>291</v>
      </c>
      <c r="F37" t="s">
        <v>286</v>
      </c>
      <c r="G37" t="s">
        <v>233</v>
      </c>
      <c r="H37">
        <v>530</v>
      </c>
    </row>
    <row r="38" spans="1:8" x14ac:dyDescent="0.2">
      <c r="A38" t="s">
        <v>226</v>
      </c>
      <c r="B38" t="s">
        <v>242</v>
      </c>
      <c r="C38" t="s">
        <v>292</v>
      </c>
      <c r="D38" t="s">
        <v>242</v>
      </c>
      <c r="E38" t="s">
        <v>292</v>
      </c>
      <c r="F38" t="s">
        <v>286</v>
      </c>
      <c r="G38" t="s">
        <v>233</v>
      </c>
      <c r="H38">
        <v>711.24800000000005</v>
      </c>
    </row>
    <row r="39" spans="1:8" x14ac:dyDescent="0.2">
      <c r="A39" t="s">
        <v>226</v>
      </c>
      <c r="B39" t="s">
        <v>242</v>
      </c>
      <c r="C39" t="s">
        <v>293</v>
      </c>
      <c r="D39" t="s">
        <v>242</v>
      </c>
      <c r="E39" t="s">
        <v>293</v>
      </c>
      <c r="F39" t="s">
        <v>286</v>
      </c>
      <c r="G39" t="s">
        <v>233</v>
      </c>
      <c r="H39">
        <v>735</v>
      </c>
    </row>
    <row r="40" spans="1:8" x14ac:dyDescent="0.2">
      <c r="A40" t="s">
        <v>226</v>
      </c>
      <c r="B40" t="s">
        <v>242</v>
      </c>
      <c r="C40" t="s">
        <v>294</v>
      </c>
      <c r="D40" t="s">
        <v>242</v>
      </c>
      <c r="E40" t="s">
        <v>294</v>
      </c>
      <c r="F40" t="s">
        <v>286</v>
      </c>
      <c r="G40" t="s">
        <v>233</v>
      </c>
      <c r="H40">
        <v>384.63600000000002</v>
      </c>
    </row>
    <row r="41" spans="1:8" x14ac:dyDescent="0.2">
      <c r="A41" t="s">
        <v>226</v>
      </c>
      <c r="B41" t="s">
        <v>242</v>
      </c>
      <c r="C41" t="s">
        <v>295</v>
      </c>
      <c r="D41" t="s">
        <v>242</v>
      </c>
      <c r="E41" t="s">
        <v>295</v>
      </c>
      <c r="F41" t="s">
        <v>286</v>
      </c>
      <c r="G41" t="s">
        <v>233</v>
      </c>
      <c r="H41">
        <v>619.61900000000003</v>
      </c>
    </row>
    <row r="42" spans="1:8" x14ac:dyDescent="0.2">
      <c r="A42" t="s">
        <v>226</v>
      </c>
      <c r="B42" t="s">
        <v>242</v>
      </c>
      <c r="C42" t="s">
        <v>296</v>
      </c>
      <c r="D42" t="s">
        <v>242</v>
      </c>
      <c r="E42" t="s">
        <v>296</v>
      </c>
      <c r="F42" t="s">
        <v>286</v>
      </c>
      <c r="G42" t="s">
        <v>233</v>
      </c>
      <c r="H42">
        <v>1232.605</v>
      </c>
    </row>
    <row r="43" spans="1:8" x14ac:dyDescent="0.2">
      <c r="A43" t="s">
        <v>226</v>
      </c>
      <c r="B43" t="s">
        <v>242</v>
      </c>
      <c r="C43" t="s">
        <v>297</v>
      </c>
      <c r="D43" t="s">
        <v>242</v>
      </c>
      <c r="E43" t="s">
        <v>297</v>
      </c>
      <c r="F43" t="s">
        <v>286</v>
      </c>
      <c r="G43" t="s">
        <v>233</v>
      </c>
      <c r="H43">
        <v>80</v>
      </c>
    </row>
    <row r="44" spans="1:8" x14ac:dyDescent="0.2">
      <c r="A44" t="s">
        <v>226</v>
      </c>
      <c r="B44" t="s">
        <v>242</v>
      </c>
      <c r="C44" t="s">
        <v>298</v>
      </c>
      <c r="D44" t="s">
        <v>242</v>
      </c>
      <c r="E44" t="s">
        <v>298</v>
      </c>
      <c r="F44" t="s">
        <v>286</v>
      </c>
      <c r="G44" t="s">
        <v>233</v>
      </c>
      <c r="H44">
        <v>-0.23799999999999999</v>
      </c>
    </row>
    <row r="45" spans="1:8" x14ac:dyDescent="0.2">
      <c r="A45" t="s">
        <v>226</v>
      </c>
      <c r="B45" t="s">
        <v>242</v>
      </c>
      <c r="C45" t="s">
        <v>299</v>
      </c>
      <c r="D45" t="s">
        <v>242</v>
      </c>
      <c r="E45" t="s">
        <v>299</v>
      </c>
      <c r="F45" t="s">
        <v>286</v>
      </c>
      <c r="G45" t="s">
        <v>233</v>
      </c>
      <c r="H45">
        <v>351</v>
      </c>
    </row>
    <row r="46" spans="1:8" x14ac:dyDescent="0.2">
      <c r="A46" t="s">
        <v>226</v>
      </c>
      <c r="B46" t="s">
        <v>242</v>
      </c>
      <c r="C46" t="s">
        <v>300</v>
      </c>
      <c r="D46" t="s">
        <v>242</v>
      </c>
      <c r="E46" t="s">
        <v>300</v>
      </c>
      <c r="F46" t="s">
        <v>286</v>
      </c>
      <c r="G46" t="s">
        <v>233</v>
      </c>
      <c r="H46">
        <v>1416.223</v>
      </c>
    </row>
    <row r="47" spans="1:8" x14ac:dyDescent="0.2">
      <c r="A47" t="s">
        <v>226</v>
      </c>
      <c r="B47" t="s">
        <v>230</v>
      </c>
      <c r="C47" t="s">
        <v>301</v>
      </c>
      <c r="D47" t="s">
        <v>230</v>
      </c>
      <c r="E47" t="s">
        <v>301</v>
      </c>
      <c r="F47" t="s">
        <v>302</v>
      </c>
      <c r="G47" t="s">
        <v>233</v>
      </c>
      <c r="H47">
        <v>4633.7</v>
      </c>
    </row>
    <row r="48" spans="1:8" x14ac:dyDescent="0.2">
      <c r="A48" t="s">
        <v>226</v>
      </c>
      <c r="B48" t="s">
        <v>230</v>
      </c>
      <c r="C48" t="s">
        <v>299</v>
      </c>
      <c r="D48" t="s">
        <v>230</v>
      </c>
      <c r="E48" t="s">
        <v>299</v>
      </c>
      <c r="F48" t="s">
        <v>303</v>
      </c>
      <c r="G48" t="s">
        <v>233</v>
      </c>
      <c r="H48">
        <v>110</v>
      </c>
    </row>
    <row r="49" spans="1:8" x14ac:dyDescent="0.2">
      <c r="A49" t="s">
        <v>226</v>
      </c>
      <c r="B49" t="s">
        <v>230</v>
      </c>
      <c r="C49" t="s">
        <v>304</v>
      </c>
      <c r="D49" t="s">
        <v>230</v>
      </c>
      <c r="E49" t="s">
        <v>304</v>
      </c>
      <c r="F49" t="s">
        <v>305</v>
      </c>
      <c r="G49" t="s">
        <v>233</v>
      </c>
      <c r="H49">
        <v>85554.198000000004</v>
      </c>
    </row>
    <row r="50" spans="1:8" x14ac:dyDescent="0.2">
      <c r="A50" t="s">
        <v>226</v>
      </c>
      <c r="B50" t="s">
        <v>242</v>
      </c>
      <c r="C50" t="s">
        <v>306</v>
      </c>
      <c r="D50" t="s">
        <v>242</v>
      </c>
      <c r="E50" t="s">
        <v>306</v>
      </c>
      <c r="F50" t="s">
        <v>286</v>
      </c>
      <c r="G50" t="s">
        <v>233</v>
      </c>
      <c r="H50">
        <v>5080</v>
      </c>
    </row>
    <row r="51" spans="1:8" x14ac:dyDescent="0.2">
      <c r="A51" t="s">
        <v>226</v>
      </c>
      <c r="B51" t="s">
        <v>242</v>
      </c>
      <c r="C51" t="s">
        <v>307</v>
      </c>
      <c r="D51" t="s">
        <v>242</v>
      </c>
      <c r="E51" t="s">
        <v>307</v>
      </c>
      <c r="F51" t="s">
        <v>286</v>
      </c>
      <c r="G51" t="s">
        <v>233</v>
      </c>
      <c r="H51">
        <v>638.76199999999994</v>
      </c>
    </row>
    <row r="52" spans="1:8" x14ac:dyDescent="0.2">
      <c r="A52" t="s">
        <v>226</v>
      </c>
      <c r="B52" t="s">
        <v>242</v>
      </c>
      <c r="C52" t="s">
        <v>308</v>
      </c>
      <c r="D52" t="s">
        <v>242</v>
      </c>
      <c r="E52" t="s">
        <v>308</v>
      </c>
      <c r="F52" t="s">
        <v>309</v>
      </c>
      <c r="G52" t="s">
        <v>233</v>
      </c>
      <c r="H52">
        <v>5225.8100000000004</v>
      </c>
    </row>
    <row r="53" spans="1:8" x14ac:dyDescent="0.2">
      <c r="A53" t="s">
        <v>226</v>
      </c>
      <c r="B53" t="s">
        <v>242</v>
      </c>
      <c r="C53" t="s">
        <v>310</v>
      </c>
      <c r="D53" t="s">
        <v>242</v>
      </c>
      <c r="E53" t="s">
        <v>310</v>
      </c>
      <c r="F53" t="s">
        <v>286</v>
      </c>
      <c r="G53" t="s">
        <v>233</v>
      </c>
      <c r="H53">
        <v>10</v>
      </c>
    </row>
    <row r="54" spans="1:8" x14ac:dyDescent="0.2">
      <c r="A54" t="s">
        <v>226</v>
      </c>
      <c r="B54" t="s">
        <v>242</v>
      </c>
      <c r="C54" t="s">
        <v>311</v>
      </c>
      <c r="D54" t="s">
        <v>242</v>
      </c>
      <c r="E54" t="s">
        <v>311</v>
      </c>
      <c r="F54" t="s">
        <v>286</v>
      </c>
      <c r="G54" t="s">
        <v>233</v>
      </c>
      <c r="H54">
        <v>435.85700000000003</v>
      </c>
    </row>
    <row r="55" spans="1:8" x14ac:dyDescent="0.2">
      <c r="A55" t="s">
        <v>226</v>
      </c>
      <c r="B55" t="s">
        <v>242</v>
      </c>
      <c r="C55" t="s">
        <v>312</v>
      </c>
      <c r="D55" t="s">
        <v>242</v>
      </c>
      <c r="E55" t="s">
        <v>312</v>
      </c>
      <c r="F55" t="s">
        <v>286</v>
      </c>
      <c r="G55" t="s">
        <v>233</v>
      </c>
      <c r="H55">
        <v>141.857</v>
      </c>
    </row>
    <row r="56" spans="1:8" x14ac:dyDescent="0.2">
      <c r="A56" t="s">
        <v>226</v>
      </c>
      <c r="B56" t="s">
        <v>242</v>
      </c>
      <c r="C56" t="s">
        <v>313</v>
      </c>
      <c r="D56" t="s">
        <v>242</v>
      </c>
      <c r="E56" t="s">
        <v>313</v>
      </c>
      <c r="F56" t="s">
        <v>286</v>
      </c>
      <c r="G56" t="s">
        <v>233</v>
      </c>
      <c r="H56">
        <v>1730</v>
      </c>
    </row>
    <row r="57" spans="1:8" x14ac:dyDescent="0.2">
      <c r="A57" t="s">
        <v>226</v>
      </c>
      <c r="B57" t="s">
        <v>242</v>
      </c>
      <c r="C57" t="s">
        <v>314</v>
      </c>
      <c r="D57" t="s">
        <v>242</v>
      </c>
      <c r="E57" t="s">
        <v>314</v>
      </c>
      <c r="F57" t="s">
        <v>286</v>
      </c>
      <c r="G57" t="s">
        <v>233</v>
      </c>
      <c r="H57">
        <v>289.762</v>
      </c>
    </row>
    <row r="58" spans="1:8" x14ac:dyDescent="0.2">
      <c r="A58" t="s">
        <v>226</v>
      </c>
      <c r="B58" t="s">
        <v>242</v>
      </c>
      <c r="C58" t="s">
        <v>315</v>
      </c>
      <c r="D58" t="s">
        <v>242</v>
      </c>
      <c r="E58" t="s">
        <v>315</v>
      </c>
      <c r="F58" t="s">
        <v>309</v>
      </c>
      <c r="G58" t="s">
        <v>233</v>
      </c>
      <c r="H58">
        <v>182.952</v>
      </c>
    </row>
    <row r="59" spans="1:8" x14ac:dyDescent="0.2">
      <c r="A59" t="s">
        <v>226</v>
      </c>
      <c r="B59" t="s">
        <v>242</v>
      </c>
      <c r="C59" t="s">
        <v>316</v>
      </c>
      <c r="D59" t="s">
        <v>242</v>
      </c>
      <c r="E59" t="s">
        <v>316</v>
      </c>
      <c r="F59" t="s">
        <v>309</v>
      </c>
      <c r="G59" t="s">
        <v>233</v>
      </c>
      <c r="H59">
        <v>25</v>
      </c>
    </row>
    <row r="60" spans="1:8" x14ac:dyDescent="0.2">
      <c r="A60" t="s">
        <v>226</v>
      </c>
      <c r="B60" t="s">
        <v>242</v>
      </c>
      <c r="C60" t="s">
        <v>317</v>
      </c>
      <c r="D60" t="s">
        <v>242</v>
      </c>
      <c r="E60" t="s">
        <v>317</v>
      </c>
      <c r="F60" t="s">
        <v>309</v>
      </c>
      <c r="G60" t="s">
        <v>233</v>
      </c>
      <c r="H60">
        <v>50</v>
      </c>
    </row>
    <row r="61" spans="1:8" x14ac:dyDescent="0.2">
      <c r="A61" t="s">
        <v>226</v>
      </c>
      <c r="B61" t="s">
        <v>242</v>
      </c>
      <c r="C61" t="s">
        <v>318</v>
      </c>
      <c r="D61" t="s">
        <v>242</v>
      </c>
      <c r="E61" t="s">
        <v>318</v>
      </c>
      <c r="F61" t="s">
        <v>319</v>
      </c>
      <c r="G61" t="s">
        <v>233</v>
      </c>
      <c r="H61">
        <v>250</v>
      </c>
    </row>
    <row r="62" spans="1:8" x14ac:dyDescent="0.2">
      <c r="A62" t="s">
        <v>226</v>
      </c>
      <c r="B62" t="s">
        <v>242</v>
      </c>
      <c r="C62" t="s">
        <v>320</v>
      </c>
      <c r="D62" t="s">
        <v>242</v>
      </c>
      <c r="E62" t="s">
        <v>320</v>
      </c>
      <c r="F62" t="s">
        <v>319</v>
      </c>
      <c r="G62" t="s">
        <v>233</v>
      </c>
      <c r="H62">
        <v>265</v>
      </c>
    </row>
    <row r="63" spans="1:8" x14ac:dyDescent="0.2">
      <c r="A63" t="s">
        <v>226</v>
      </c>
      <c r="B63" t="s">
        <v>242</v>
      </c>
      <c r="C63" t="s">
        <v>321</v>
      </c>
      <c r="D63" t="s">
        <v>242</v>
      </c>
      <c r="E63" t="s">
        <v>321</v>
      </c>
      <c r="F63" t="s">
        <v>319</v>
      </c>
      <c r="G63" t="s">
        <v>233</v>
      </c>
      <c r="H63">
        <v>1800</v>
      </c>
    </row>
    <row r="64" spans="1:8" x14ac:dyDescent="0.2">
      <c r="A64" t="s">
        <v>226</v>
      </c>
      <c r="B64" t="s">
        <v>242</v>
      </c>
      <c r="C64" t="s">
        <v>322</v>
      </c>
      <c r="D64" t="s">
        <v>242</v>
      </c>
      <c r="E64" t="s">
        <v>322</v>
      </c>
      <c r="F64" t="s">
        <v>323</v>
      </c>
      <c r="G64" t="s">
        <v>233</v>
      </c>
      <c r="H64">
        <v>35406.756000000001</v>
      </c>
    </row>
    <row r="65" spans="1:8" x14ac:dyDescent="0.2">
      <c r="A65" t="s">
        <v>247</v>
      </c>
      <c r="B65" t="s">
        <v>226</v>
      </c>
      <c r="C65" t="s">
        <v>226</v>
      </c>
      <c r="D65" t="s">
        <v>226</v>
      </c>
      <c r="E65" t="s">
        <v>226</v>
      </c>
      <c r="F65" t="s">
        <v>324</v>
      </c>
      <c r="G65" t="s">
        <v>226</v>
      </c>
      <c r="H65">
        <v>0</v>
      </c>
    </row>
    <row r="66" spans="1:8" x14ac:dyDescent="0.2">
      <c r="A66" t="s">
        <v>226</v>
      </c>
      <c r="B66" t="s">
        <v>230</v>
      </c>
      <c r="C66" t="s">
        <v>325</v>
      </c>
      <c r="D66" t="s">
        <v>230</v>
      </c>
      <c r="E66" t="s">
        <v>325</v>
      </c>
      <c r="F66" t="s">
        <v>326</v>
      </c>
      <c r="G66" t="s">
        <v>233</v>
      </c>
      <c r="H66">
        <v>-1994.335</v>
      </c>
    </row>
    <row r="67" spans="1:8" x14ac:dyDescent="0.2">
      <c r="A67" t="s">
        <v>226</v>
      </c>
      <c r="B67" t="s">
        <v>230</v>
      </c>
      <c r="C67" t="s">
        <v>327</v>
      </c>
      <c r="D67" t="s">
        <v>230</v>
      </c>
      <c r="E67" t="s">
        <v>327</v>
      </c>
      <c r="F67" t="s">
        <v>328</v>
      </c>
      <c r="G67" t="s">
        <v>233</v>
      </c>
      <c r="H67">
        <v>33046.400999999998</v>
      </c>
    </row>
    <row r="68" spans="1:8" x14ac:dyDescent="0.2">
      <c r="A68" t="s">
        <v>226</v>
      </c>
      <c r="B68" t="s">
        <v>230</v>
      </c>
      <c r="C68" t="s">
        <v>329</v>
      </c>
      <c r="D68" t="s">
        <v>230</v>
      </c>
      <c r="E68" t="s">
        <v>329</v>
      </c>
      <c r="F68" t="s">
        <v>330</v>
      </c>
      <c r="G68" t="s">
        <v>233</v>
      </c>
      <c r="H68">
        <v>25184.710999999999</v>
      </c>
    </row>
    <row r="69" spans="1:8" x14ac:dyDescent="0.2">
      <c r="A69" t="s">
        <v>226</v>
      </c>
      <c r="B69" t="s">
        <v>230</v>
      </c>
      <c r="C69" t="s">
        <v>331</v>
      </c>
      <c r="D69" t="s">
        <v>230</v>
      </c>
      <c r="E69" t="s">
        <v>331</v>
      </c>
      <c r="F69" t="s">
        <v>332</v>
      </c>
      <c r="G69" t="s">
        <v>233</v>
      </c>
      <c r="H69">
        <v>-124864.75199999999</v>
      </c>
    </row>
    <row r="70" spans="1:8" x14ac:dyDescent="0.2">
      <c r="A70" t="s">
        <v>226</v>
      </c>
      <c r="B70" t="s">
        <v>230</v>
      </c>
      <c r="C70" t="s">
        <v>333</v>
      </c>
      <c r="D70" t="s">
        <v>230</v>
      </c>
      <c r="E70" t="s">
        <v>333</v>
      </c>
      <c r="F70" t="s">
        <v>334</v>
      </c>
      <c r="G70" t="s">
        <v>233</v>
      </c>
      <c r="H70">
        <v>2.1379999999999999</v>
      </c>
    </row>
    <row r="71" spans="1:8" x14ac:dyDescent="0.2">
      <c r="A71" t="s">
        <v>226</v>
      </c>
      <c r="B71" t="s">
        <v>230</v>
      </c>
      <c r="C71" t="s">
        <v>335</v>
      </c>
      <c r="D71" t="s">
        <v>230</v>
      </c>
      <c r="E71" t="s">
        <v>335</v>
      </c>
      <c r="F71" t="s">
        <v>336</v>
      </c>
      <c r="G71" t="s">
        <v>233</v>
      </c>
      <c r="H71">
        <v>7288.1580000000004</v>
      </c>
    </row>
    <row r="72" spans="1:8" x14ac:dyDescent="0.2">
      <c r="A72" t="s">
        <v>226</v>
      </c>
      <c r="B72" t="s">
        <v>230</v>
      </c>
      <c r="C72" t="s">
        <v>337</v>
      </c>
      <c r="D72" t="s">
        <v>230</v>
      </c>
      <c r="E72" t="s">
        <v>337</v>
      </c>
      <c r="F72" t="s">
        <v>338</v>
      </c>
      <c r="G72" t="s">
        <v>233</v>
      </c>
      <c r="H72">
        <v>1540.318</v>
      </c>
    </row>
    <row r="73" spans="1:8" x14ac:dyDescent="0.2">
      <c r="A73" t="s">
        <v>226</v>
      </c>
      <c r="B73" t="s">
        <v>230</v>
      </c>
      <c r="C73" t="s">
        <v>339</v>
      </c>
      <c r="D73" t="s">
        <v>230</v>
      </c>
      <c r="E73" t="s">
        <v>339</v>
      </c>
      <c r="F73" t="s">
        <v>340</v>
      </c>
      <c r="G73" t="s">
        <v>233</v>
      </c>
      <c r="H73">
        <v>363.93799999999999</v>
      </c>
    </row>
    <row r="74" spans="1:8" x14ac:dyDescent="0.2">
      <c r="A74" t="s">
        <v>226</v>
      </c>
      <c r="B74" t="s">
        <v>230</v>
      </c>
      <c r="C74" t="s">
        <v>341</v>
      </c>
      <c r="D74" t="s">
        <v>230</v>
      </c>
      <c r="E74" t="s">
        <v>341</v>
      </c>
      <c r="F74" t="s">
        <v>342</v>
      </c>
      <c r="G74" t="s">
        <v>233</v>
      </c>
      <c r="H74">
        <v>226416.92600000001</v>
      </c>
    </row>
    <row r="75" spans="1:8" x14ac:dyDescent="0.2">
      <c r="A75" t="s">
        <v>226</v>
      </c>
      <c r="B75" t="s">
        <v>230</v>
      </c>
      <c r="C75" t="s">
        <v>343</v>
      </c>
      <c r="D75" t="s">
        <v>230</v>
      </c>
      <c r="E75" t="s">
        <v>343</v>
      </c>
      <c r="F75" t="s">
        <v>344</v>
      </c>
      <c r="G75" t="s">
        <v>233</v>
      </c>
      <c r="H75">
        <v>27698.521000000001</v>
      </c>
    </row>
    <row r="76" spans="1:8" x14ac:dyDescent="0.2">
      <c r="A76" t="s">
        <v>226</v>
      </c>
      <c r="B76" t="s">
        <v>230</v>
      </c>
      <c r="C76" t="s">
        <v>345</v>
      </c>
      <c r="D76" t="s">
        <v>230</v>
      </c>
      <c r="E76" t="s">
        <v>345</v>
      </c>
      <c r="F76" t="s">
        <v>346</v>
      </c>
      <c r="G76" t="s">
        <v>233</v>
      </c>
      <c r="H76">
        <v>5000</v>
      </c>
    </row>
    <row r="77" spans="1:8" x14ac:dyDescent="0.2">
      <c r="A77" t="s">
        <v>347</v>
      </c>
      <c r="B77" t="s">
        <v>226</v>
      </c>
      <c r="C77" t="s">
        <v>226</v>
      </c>
      <c r="D77" t="s">
        <v>226</v>
      </c>
      <c r="E77" t="s">
        <v>226</v>
      </c>
      <c r="F77" t="s">
        <v>348</v>
      </c>
      <c r="G77" t="s">
        <v>226</v>
      </c>
      <c r="H77">
        <v>0</v>
      </c>
    </row>
    <row r="78" spans="1:8" x14ac:dyDescent="0.2">
      <c r="A78" t="s">
        <v>228</v>
      </c>
      <c r="B78" t="s">
        <v>226</v>
      </c>
      <c r="C78" t="s">
        <v>226</v>
      </c>
      <c r="D78" t="s">
        <v>226</v>
      </c>
      <c r="E78" t="s">
        <v>226</v>
      </c>
      <c r="F78" t="s">
        <v>349</v>
      </c>
      <c r="G78" t="s">
        <v>226</v>
      </c>
      <c r="H78">
        <v>0</v>
      </c>
    </row>
    <row r="79" spans="1:8" x14ac:dyDescent="0.2">
      <c r="A79" t="s">
        <v>247</v>
      </c>
      <c r="B79" t="s">
        <v>226</v>
      </c>
      <c r="C79" t="s">
        <v>226</v>
      </c>
      <c r="D79" t="s">
        <v>226</v>
      </c>
      <c r="E79" t="s">
        <v>226</v>
      </c>
      <c r="F79" t="s">
        <v>350</v>
      </c>
      <c r="G79" t="s">
        <v>226</v>
      </c>
      <c r="H79">
        <v>0</v>
      </c>
    </row>
    <row r="80" spans="1:8" x14ac:dyDescent="0.2">
      <c r="A80" t="s">
        <v>226</v>
      </c>
      <c r="B80" t="s">
        <v>230</v>
      </c>
      <c r="C80" t="s">
        <v>351</v>
      </c>
      <c r="D80" t="s">
        <v>230</v>
      </c>
      <c r="E80" t="s">
        <v>351</v>
      </c>
      <c r="F80" t="s">
        <v>352</v>
      </c>
      <c r="G80" t="s">
        <v>353</v>
      </c>
      <c r="H80">
        <v>-515333.67099999997</v>
      </c>
    </row>
    <row r="81" spans="1:8" x14ac:dyDescent="0.2">
      <c r="A81" t="s">
        <v>226</v>
      </c>
      <c r="B81" t="s">
        <v>230</v>
      </c>
      <c r="C81" t="s">
        <v>354</v>
      </c>
      <c r="D81" t="s">
        <v>230</v>
      </c>
      <c r="E81" t="s">
        <v>354</v>
      </c>
      <c r="F81" t="s">
        <v>355</v>
      </c>
      <c r="G81" t="s">
        <v>353</v>
      </c>
      <c r="H81">
        <v>-7871</v>
      </c>
    </row>
    <row r="82" spans="1:8" x14ac:dyDescent="0.2">
      <c r="A82" t="s">
        <v>226</v>
      </c>
      <c r="B82" t="s">
        <v>230</v>
      </c>
      <c r="C82" t="s">
        <v>356</v>
      </c>
      <c r="D82" t="s">
        <v>230</v>
      </c>
      <c r="E82" t="s">
        <v>356</v>
      </c>
      <c r="F82" t="s">
        <v>357</v>
      </c>
      <c r="G82" t="s">
        <v>353</v>
      </c>
      <c r="H82">
        <v>-280879.31099999999</v>
      </c>
    </row>
    <row r="83" spans="1:8" x14ac:dyDescent="0.2">
      <c r="A83" t="s">
        <v>226</v>
      </c>
      <c r="B83" t="s">
        <v>230</v>
      </c>
      <c r="C83" t="s">
        <v>358</v>
      </c>
      <c r="D83" t="s">
        <v>230</v>
      </c>
      <c r="E83" t="s">
        <v>358</v>
      </c>
      <c r="F83" t="s">
        <v>359</v>
      </c>
      <c r="G83" t="s">
        <v>233</v>
      </c>
      <c r="H83">
        <v>-33660.803999999996</v>
      </c>
    </row>
    <row r="84" spans="1:8" x14ac:dyDescent="0.2">
      <c r="A84" t="s">
        <v>226</v>
      </c>
      <c r="B84" t="s">
        <v>230</v>
      </c>
      <c r="C84" t="s">
        <v>360</v>
      </c>
      <c r="D84" t="s">
        <v>230</v>
      </c>
      <c r="E84" t="s">
        <v>360</v>
      </c>
      <c r="F84" t="s">
        <v>361</v>
      </c>
      <c r="G84" t="s">
        <v>353</v>
      </c>
      <c r="H84">
        <v>-223125</v>
      </c>
    </row>
    <row r="85" spans="1:8" x14ac:dyDescent="0.2">
      <c r="A85" t="s">
        <v>247</v>
      </c>
      <c r="B85" t="s">
        <v>226</v>
      </c>
      <c r="C85" t="s">
        <v>226</v>
      </c>
      <c r="D85" t="s">
        <v>226</v>
      </c>
      <c r="E85" t="s">
        <v>226</v>
      </c>
      <c r="F85" t="s">
        <v>362</v>
      </c>
      <c r="G85" t="s">
        <v>226</v>
      </c>
      <c r="H85">
        <v>0</v>
      </c>
    </row>
    <row r="86" spans="1:8" x14ac:dyDescent="0.2">
      <c r="A86" t="s">
        <v>247</v>
      </c>
      <c r="B86" t="s">
        <v>226</v>
      </c>
      <c r="C86" t="s">
        <v>226</v>
      </c>
      <c r="D86" t="s">
        <v>226</v>
      </c>
      <c r="E86" t="s">
        <v>226</v>
      </c>
      <c r="F86" t="s">
        <v>363</v>
      </c>
      <c r="G86" t="s">
        <v>226</v>
      </c>
      <c r="H86">
        <v>0</v>
      </c>
    </row>
    <row r="87" spans="1:8" x14ac:dyDescent="0.2">
      <c r="A87" t="s">
        <v>226</v>
      </c>
      <c r="B87" t="s">
        <v>276</v>
      </c>
      <c r="C87" t="s">
        <v>364</v>
      </c>
      <c r="D87" t="s">
        <v>276</v>
      </c>
      <c r="E87" t="s">
        <v>364</v>
      </c>
      <c r="F87" t="s">
        <v>365</v>
      </c>
      <c r="G87" t="s">
        <v>353</v>
      </c>
      <c r="H87">
        <v>-160169.136</v>
      </c>
    </row>
    <row r="88" spans="1:8" x14ac:dyDescent="0.2">
      <c r="A88" t="s">
        <v>226</v>
      </c>
      <c r="B88" t="s">
        <v>230</v>
      </c>
      <c r="C88" t="s">
        <v>366</v>
      </c>
      <c r="D88" t="s">
        <v>230</v>
      </c>
      <c r="E88" t="s">
        <v>366</v>
      </c>
      <c r="F88" t="s">
        <v>367</v>
      </c>
      <c r="G88" t="s">
        <v>353</v>
      </c>
      <c r="H88">
        <v>-7226.5950000000003</v>
      </c>
    </row>
    <row r="89" spans="1:8" x14ac:dyDescent="0.2">
      <c r="A89" t="s">
        <v>226</v>
      </c>
      <c r="B89" t="s">
        <v>230</v>
      </c>
      <c r="C89" t="s">
        <v>368</v>
      </c>
      <c r="D89" t="s">
        <v>230</v>
      </c>
      <c r="E89" t="s">
        <v>368</v>
      </c>
      <c r="F89" t="s">
        <v>369</v>
      </c>
      <c r="G89" t="s">
        <v>353</v>
      </c>
      <c r="H89">
        <v>-192336.535</v>
      </c>
    </row>
    <row r="90" spans="1:8" x14ac:dyDescent="0.2">
      <c r="A90" t="s">
        <v>226</v>
      </c>
      <c r="B90" t="s">
        <v>230</v>
      </c>
      <c r="C90" t="s">
        <v>370</v>
      </c>
      <c r="D90" t="s">
        <v>230</v>
      </c>
      <c r="E90" t="s">
        <v>370</v>
      </c>
      <c r="F90" t="s">
        <v>371</v>
      </c>
      <c r="G90" t="s">
        <v>353</v>
      </c>
      <c r="H90">
        <v>-43022.298999999999</v>
      </c>
    </row>
    <row r="91" spans="1:8" x14ac:dyDescent="0.2">
      <c r="A91" t="s">
        <v>226</v>
      </c>
      <c r="B91" t="s">
        <v>230</v>
      </c>
      <c r="C91" t="s">
        <v>372</v>
      </c>
      <c r="D91" t="s">
        <v>230</v>
      </c>
      <c r="E91" t="s">
        <v>372</v>
      </c>
      <c r="F91" t="s">
        <v>373</v>
      </c>
      <c r="G91" t="s">
        <v>353</v>
      </c>
      <c r="H91">
        <v>-27143.236000000001</v>
      </c>
    </row>
    <row r="92" spans="1:8" x14ac:dyDescent="0.2">
      <c r="A92" t="s">
        <v>226</v>
      </c>
      <c r="B92" t="s">
        <v>230</v>
      </c>
      <c r="C92" t="s">
        <v>374</v>
      </c>
      <c r="D92" t="s">
        <v>230</v>
      </c>
      <c r="E92" t="s">
        <v>374</v>
      </c>
      <c r="F92" t="s">
        <v>375</v>
      </c>
      <c r="G92" t="s">
        <v>353</v>
      </c>
      <c r="H92">
        <v>-57815.580999999998</v>
      </c>
    </row>
    <row r="93" spans="1:8" x14ac:dyDescent="0.2">
      <c r="A93" t="s">
        <v>226</v>
      </c>
      <c r="B93" t="s">
        <v>230</v>
      </c>
      <c r="C93" t="s">
        <v>376</v>
      </c>
      <c r="D93" t="s">
        <v>230</v>
      </c>
      <c r="E93" t="s">
        <v>376</v>
      </c>
      <c r="F93" t="s">
        <v>377</v>
      </c>
      <c r="G93" t="s">
        <v>353</v>
      </c>
      <c r="H93">
        <v>-1350</v>
      </c>
    </row>
    <row r="94" spans="1:8" x14ac:dyDescent="0.2">
      <c r="A94" t="s">
        <v>226</v>
      </c>
      <c r="B94" t="s">
        <v>230</v>
      </c>
      <c r="C94" t="s">
        <v>378</v>
      </c>
      <c r="D94" t="s">
        <v>230</v>
      </c>
      <c r="E94" t="s">
        <v>378</v>
      </c>
      <c r="F94" t="s">
        <v>379</v>
      </c>
      <c r="G94" t="s">
        <v>233</v>
      </c>
      <c r="H94">
        <v>-69340.203999999998</v>
      </c>
    </row>
    <row r="95" spans="1:8" x14ac:dyDescent="0.2">
      <c r="A95" t="s">
        <v>226</v>
      </c>
      <c r="B95" t="s">
        <v>230</v>
      </c>
      <c r="C95" t="s">
        <v>380</v>
      </c>
      <c r="D95" t="s">
        <v>230</v>
      </c>
      <c r="E95" t="s">
        <v>380</v>
      </c>
      <c r="F95" t="s">
        <v>381</v>
      </c>
      <c r="G95" t="s">
        <v>353</v>
      </c>
      <c r="H95">
        <v>-43769.614000000001</v>
      </c>
    </row>
    <row r="96" spans="1:8" x14ac:dyDescent="0.2">
      <c r="A96" t="s">
        <v>226</v>
      </c>
      <c r="B96" t="s">
        <v>230</v>
      </c>
      <c r="C96" t="s">
        <v>382</v>
      </c>
      <c r="D96" t="s">
        <v>230</v>
      </c>
      <c r="E96" t="s">
        <v>382</v>
      </c>
      <c r="F96" t="s">
        <v>383</v>
      </c>
      <c r="G96" t="s">
        <v>353</v>
      </c>
      <c r="H96">
        <v>878.5</v>
      </c>
    </row>
    <row r="97" spans="1:8" x14ac:dyDescent="0.2">
      <c r="A97" t="s">
        <v>226</v>
      </c>
      <c r="B97" t="s">
        <v>230</v>
      </c>
      <c r="C97" t="s">
        <v>384</v>
      </c>
      <c r="D97" t="s">
        <v>230</v>
      </c>
      <c r="E97" t="s">
        <v>384</v>
      </c>
      <c r="F97" t="s">
        <v>385</v>
      </c>
      <c r="G97" t="s">
        <v>353</v>
      </c>
      <c r="H97">
        <v>-31.5</v>
      </c>
    </row>
    <row r="98" spans="1:8" x14ac:dyDescent="0.2">
      <c r="A98" t="s">
        <v>226</v>
      </c>
      <c r="B98" t="s">
        <v>230</v>
      </c>
      <c r="C98" t="s">
        <v>386</v>
      </c>
      <c r="D98" t="s">
        <v>230</v>
      </c>
      <c r="E98" t="s">
        <v>386</v>
      </c>
      <c r="F98" t="s">
        <v>387</v>
      </c>
      <c r="G98" t="s">
        <v>353</v>
      </c>
      <c r="H98">
        <v>5458.63</v>
      </c>
    </row>
    <row r="99" spans="1:8" x14ac:dyDescent="0.2">
      <c r="A99" t="s">
        <v>226</v>
      </c>
      <c r="B99" t="s">
        <v>242</v>
      </c>
      <c r="C99" t="s">
        <v>386</v>
      </c>
      <c r="D99" t="s">
        <v>242</v>
      </c>
      <c r="E99" t="s">
        <v>386</v>
      </c>
      <c r="F99" t="s">
        <v>388</v>
      </c>
      <c r="G99" t="s">
        <v>353</v>
      </c>
      <c r="H99">
        <v>194618.46</v>
      </c>
    </row>
    <row r="100" spans="1:8" x14ac:dyDescent="0.2">
      <c r="A100" t="s">
        <v>226</v>
      </c>
      <c r="B100" t="s">
        <v>230</v>
      </c>
      <c r="C100" t="s">
        <v>389</v>
      </c>
      <c r="D100" t="s">
        <v>230</v>
      </c>
      <c r="E100" t="s">
        <v>389</v>
      </c>
      <c r="F100" t="s">
        <v>390</v>
      </c>
      <c r="G100" t="s">
        <v>353</v>
      </c>
      <c r="H100">
        <v>-1571.4290000000001</v>
      </c>
    </row>
    <row r="101" spans="1:8" x14ac:dyDescent="0.2">
      <c r="A101" t="s">
        <v>226</v>
      </c>
      <c r="B101" t="s">
        <v>230</v>
      </c>
      <c r="C101" t="s">
        <v>391</v>
      </c>
      <c r="D101" t="s">
        <v>230</v>
      </c>
      <c r="E101" t="s">
        <v>391</v>
      </c>
      <c r="F101" t="s">
        <v>392</v>
      </c>
      <c r="G101" t="s">
        <v>233</v>
      </c>
      <c r="H101">
        <v>12110.84</v>
      </c>
    </row>
    <row r="102" spans="1:8" x14ac:dyDescent="0.2">
      <c r="A102" t="s">
        <v>247</v>
      </c>
      <c r="B102" t="s">
        <v>226</v>
      </c>
      <c r="C102" t="s">
        <v>226</v>
      </c>
      <c r="D102" t="s">
        <v>226</v>
      </c>
      <c r="E102" t="s">
        <v>226</v>
      </c>
      <c r="F102" t="s">
        <v>393</v>
      </c>
      <c r="G102" t="s">
        <v>226</v>
      </c>
      <c r="H102">
        <v>0</v>
      </c>
    </row>
    <row r="103" spans="1:8" x14ac:dyDescent="0.2">
      <c r="A103" t="s">
        <v>226</v>
      </c>
      <c r="B103" t="s">
        <v>230</v>
      </c>
      <c r="C103" t="s">
        <v>394</v>
      </c>
      <c r="D103" t="s">
        <v>230</v>
      </c>
      <c r="E103" t="s">
        <v>394</v>
      </c>
      <c r="F103" t="s">
        <v>395</v>
      </c>
      <c r="G103" t="s">
        <v>353</v>
      </c>
      <c r="H103">
        <v>-16938</v>
      </c>
    </row>
    <row r="104" spans="1:8" x14ac:dyDescent="0.2">
      <c r="A104" t="s">
        <v>247</v>
      </c>
      <c r="B104" t="s">
        <v>226</v>
      </c>
      <c r="C104" t="s">
        <v>226</v>
      </c>
      <c r="D104" t="s">
        <v>226</v>
      </c>
      <c r="E104" t="s">
        <v>226</v>
      </c>
      <c r="F104" t="s">
        <v>396</v>
      </c>
      <c r="G104" t="s">
        <v>226</v>
      </c>
      <c r="H104">
        <v>0</v>
      </c>
    </row>
    <row r="105" spans="1:8" x14ac:dyDescent="0.2">
      <c r="A105" t="s">
        <v>228</v>
      </c>
      <c r="B105" t="s">
        <v>226</v>
      </c>
      <c r="C105" t="s">
        <v>226</v>
      </c>
      <c r="D105" t="s">
        <v>226</v>
      </c>
      <c r="E105" t="s">
        <v>226</v>
      </c>
      <c r="F105" t="s">
        <v>397</v>
      </c>
      <c r="G105" t="s">
        <v>226</v>
      </c>
      <c r="H105">
        <v>0</v>
      </c>
    </row>
    <row r="106" spans="1:8" x14ac:dyDescent="0.2">
      <c r="A106" t="s">
        <v>226</v>
      </c>
      <c r="B106" t="s">
        <v>230</v>
      </c>
      <c r="C106" t="s">
        <v>398</v>
      </c>
      <c r="D106" t="s">
        <v>230</v>
      </c>
      <c r="E106" t="s">
        <v>398</v>
      </c>
      <c r="F106" t="s">
        <v>399</v>
      </c>
      <c r="G106" t="s">
        <v>400</v>
      </c>
      <c r="H106">
        <v>-600000</v>
      </c>
    </row>
    <row r="107" spans="1:8" x14ac:dyDescent="0.2">
      <c r="A107" t="s">
        <v>226</v>
      </c>
      <c r="B107" t="s">
        <v>230</v>
      </c>
      <c r="C107" t="s">
        <v>401</v>
      </c>
      <c r="D107" t="s">
        <v>230</v>
      </c>
      <c r="E107" t="s">
        <v>401</v>
      </c>
      <c r="F107" t="s">
        <v>402</v>
      </c>
      <c r="G107" t="s">
        <v>400</v>
      </c>
      <c r="H107">
        <v>-4958367.648</v>
      </c>
    </row>
    <row r="108" spans="1:8" x14ac:dyDescent="0.2">
      <c r="A108" t="s">
        <v>226</v>
      </c>
      <c r="B108" t="s">
        <v>230</v>
      </c>
      <c r="C108" t="s">
        <v>403</v>
      </c>
      <c r="D108" t="s">
        <v>230</v>
      </c>
      <c r="E108" t="s">
        <v>403</v>
      </c>
      <c r="F108" t="s">
        <v>404</v>
      </c>
      <c r="G108" t="s">
        <v>400</v>
      </c>
      <c r="H108">
        <v>-300000</v>
      </c>
    </row>
    <row r="109" spans="1:8" x14ac:dyDescent="0.2">
      <c r="A109" t="s">
        <v>226</v>
      </c>
      <c r="B109" t="s">
        <v>230</v>
      </c>
      <c r="C109" t="s">
        <v>405</v>
      </c>
      <c r="D109" t="s">
        <v>230</v>
      </c>
      <c r="E109" t="s">
        <v>405</v>
      </c>
      <c r="F109" t="s">
        <v>406</v>
      </c>
      <c r="G109" t="s">
        <v>233</v>
      </c>
      <c r="H109">
        <v>361</v>
      </c>
    </row>
    <row r="110" spans="1:8" x14ac:dyDescent="0.2">
      <c r="A110" t="s">
        <v>226</v>
      </c>
      <c r="B110" t="s">
        <v>242</v>
      </c>
      <c r="C110" t="s">
        <v>407</v>
      </c>
      <c r="D110" t="s">
        <v>242</v>
      </c>
      <c r="E110" t="s">
        <v>407</v>
      </c>
      <c r="F110" t="s">
        <v>408</v>
      </c>
      <c r="G110" t="s">
        <v>353</v>
      </c>
      <c r="H110">
        <v>-364705.245</v>
      </c>
    </row>
    <row r="111" spans="1:8" x14ac:dyDescent="0.2">
      <c r="A111" t="s">
        <v>226</v>
      </c>
      <c r="B111" t="s">
        <v>230</v>
      </c>
      <c r="C111" t="s">
        <v>409</v>
      </c>
      <c r="D111" t="s">
        <v>230</v>
      </c>
      <c r="E111" t="s">
        <v>409</v>
      </c>
      <c r="F111" t="s">
        <v>410</v>
      </c>
      <c r="G111" t="s">
        <v>353</v>
      </c>
      <c r="H111">
        <v>4161.1400000000003</v>
      </c>
    </row>
    <row r="112" spans="1:8" x14ac:dyDescent="0.2">
      <c r="A112" t="s">
        <v>226</v>
      </c>
      <c r="B112" t="s">
        <v>230</v>
      </c>
      <c r="C112" t="s">
        <v>411</v>
      </c>
      <c r="D112" t="s">
        <v>230</v>
      </c>
      <c r="E112" t="s">
        <v>411</v>
      </c>
      <c r="F112" t="s">
        <v>412</v>
      </c>
      <c r="G112" t="s">
        <v>353</v>
      </c>
      <c r="H112">
        <v>4161.1400000000003</v>
      </c>
    </row>
    <row r="113" spans="1:9" x14ac:dyDescent="0.2">
      <c r="A113" t="s">
        <v>226</v>
      </c>
      <c r="B113" t="s">
        <v>230</v>
      </c>
      <c r="C113" t="s">
        <v>413</v>
      </c>
      <c r="D113" t="s">
        <v>230</v>
      </c>
      <c r="E113" t="s">
        <v>413</v>
      </c>
      <c r="F113" t="s">
        <v>414</v>
      </c>
      <c r="G113" t="s">
        <v>353</v>
      </c>
      <c r="H113">
        <v>71646.02</v>
      </c>
    </row>
    <row r="114" spans="1:9" x14ac:dyDescent="0.2">
      <c r="A114" t="s">
        <v>226</v>
      </c>
      <c r="B114" t="s">
        <v>230</v>
      </c>
      <c r="C114" t="s">
        <v>415</v>
      </c>
      <c r="D114" t="s">
        <v>230</v>
      </c>
      <c r="E114" t="s">
        <v>415</v>
      </c>
      <c r="F114" t="s">
        <v>416</v>
      </c>
      <c r="G114" t="s">
        <v>353</v>
      </c>
      <c r="H114">
        <v>52.26</v>
      </c>
    </row>
    <row r="115" spans="1:9" x14ac:dyDescent="0.2">
      <c r="A115" t="s">
        <v>226</v>
      </c>
      <c r="B115" t="s">
        <v>230</v>
      </c>
      <c r="C115" t="s">
        <v>417</v>
      </c>
      <c r="D115" t="s">
        <v>230</v>
      </c>
      <c r="E115" t="s">
        <v>417</v>
      </c>
      <c r="F115" t="s">
        <v>418</v>
      </c>
      <c r="G115" t="s">
        <v>353</v>
      </c>
      <c r="H115">
        <v>4161.1450000000004</v>
      </c>
    </row>
    <row r="116" spans="1:9" x14ac:dyDescent="0.2">
      <c r="A116" t="s">
        <v>226</v>
      </c>
      <c r="B116" t="s">
        <v>230</v>
      </c>
      <c r="C116" t="s">
        <v>419</v>
      </c>
      <c r="D116" t="s">
        <v>230</v>
      </c>
      <c r="E116" t="s">
        <v>419</v>
      </c>
      <c r="F116" t="s">
        <v>420</v>
      </c>
      <c r="G116" t="s">
        <v>353</v>
      </c>
      <c r="H116">
        <v>4161.1400000000003</v>
      </c>
    </row>
    <row r="117" spans="1:9" x14ac:dyDescent="0.2">
      <c r="A117" t="s">
        <v>226</v>
      </c>
      <c r="B117" t="s">
        <v>230</v>
      </c>
      <c r="C117" t="s">
        <v>421</v>
      </c>
      <c r="D117" t="s">
        <v>230</v>
      </c>
      <c r="E117" t="s">
        <v>421</v>
      </c>
      <c r="F117" t="s">
        <v>422</v>
      </c>
      <c r="G117" t="s">
        <v>353</v>
      </c>
      <c r="H117">
        <v>4161.1499999999996</v>
      </c>
    </row>
    <row r="118" spans="1:9" x14ac:dyDescent="0.2">
      <c r="A118" t="s">
        <v>226</v>
      </c>
      <c r="B118" t="s">
        <v>230</v>
      </c>
      <c r="C118" t="s">
        <v>423</v>
      </c>
      <c r="D118" t="s">
        <v>230</v>
      </c>
      <c r="E118" t="s">
        <v>423</v>
      </c>
      <c r="F118" t="s">
        <v>424</v>
      </c>
      <c r="G118" t="s">
        <v>353</v>
      </c>
      <c r="H118">
        <v>4161.1450000000004</v>
      </c>
    </row>
    <row r="119" spans="1:9" s="167" customFormat="1" x14ac:dyDescent="0.2">
      <c r="A119" s="167" t="s">
        <v>347</v>
      </c>
      <c r="B119" s="167" t="s">
        <v>226</v>
      </c>
      <c r="C119" s="167" t="s">
        <v>226</v>
      </c>
      <c r="D119" s="167" t="s">
        <v>226</v>
      </c>
      <c r="E119" s="167" t="s">
        <v>226</v>
      </c>
      <c r="F119" s="167" t="s">
        <v>425</v>
      </c>
      <c r="G119" s="167" t="s">
        <v>226</v>
      </c>
      <c r="H119" s="167">
        <v>0</v>
      </c>
    </row>
    <row r="120" spans="1:9" s="167" customFormat="1" x14ac:dyDescent="0.2">
      <c r="A120" s="167" t="s">
        <v>228</v>
      </c>
      <c r="B120" s="167" t="s">
        <v>226</v>
      </c>
      <c r="C120" s="167" t="s">
        <v>226</v>
      </c>
      <c r="D120" s="167" t="s">
        <v>226</v>
      </c>
      <c r="E120" s="167" t="s">
        <v>226</v>
      </c>
      <c r="F120" s="167" t="s">
        <v>426</v>
      </c>
      <c r="G120" s="167" t="s">
        <v>226</v>
      </c>
      <c r="H120" s="167">
        <v>0</v>
      </c>
    </row>
    <row r="121" spans="1:9" s="167" customFormat="1" x14ac:dyDescent="0.2">
      <c r="A121" s="167" t="s">
        <v>226</v>
      </c>
      <c r="B121" s="167" t="s">
        <v>242</v>
      </c>
      <c r="C121" s="167" t="s">
        <v>427</v>
      </c>
      <c r="D121" s="167" t="s">
        <v>242</v>
      </c>
      <c r="E121" s="167" t="s">
        <v>427</v>
      </c>
      <c r="F121" s="167" t="s">
        <v>428</v>
      </c>
      <c r="G121" s="167" t="s">
        <v>429</v>
      </c>
      <c r="H121" s="167">
        <v>-11037429.058</v>
      </c>
    </row>
    <row r="122" spans="1:9" s="167" customFormat="1" x14ac:dyDescent="0.2">
      <c r="A122" s="167" t="s">
        <v>226</v>
      </c>
      <c r="B122" s="167" t="s">
        <v>242</v>
      </c>
      <c r="C122" s="167" t="s">
        <v>430</v>
      </c>
      <c r="D122" s="167" t="s">
        <v>242</v>
      </c>
      <c r="E122" s="167" t="s">
        <v>430</v>
      </c>
      <c r="F122" s="167" t="s">
        <v>431</v>
      </c>
      <c r="G122" s="167" t="s">
        <v>429</v>
      </c>
      <c r="H122" s="167">
        <v>-1128642.3770000001</v>
      </c>
    </row>
    <row r="123" spans="1:9" s="167" customFormat="1" x14ac:dyDescent="0.2">
      <c r="A123" s="167" t="s">
        <v>228</v>
      </c>
      <c r="B123" s="167" t="s">
        <v>226</v>
      </c>
      <c r="C123" s="167" t="s">
        <v>226</v>
      </c>
      <c r="D123" s="167" t="s">
        <v>226</v>
      </c>
      <c r="E123" s="167" t="s">
        <v>226</v>
      </c>
      <c r="F123" s="167" t="s">
        <v>432</v>
      </c>
      <c r="G123" s="167" t="s">
        <v>226</v>
      </c>
      <c r="H123" s="167">
        <v>0</v>
      </c>
      <c r="I123" s="167" t="s">
        <v>600</v>
      </c>
    </row>
    <row r="124" spans="1:9" s="167" customFormat="1" x14ac:dyDescent="0.2">
      <c r="A124" s="167" t="s">
        <v>226</v>
      </c>
      <c r="B124" s="167" t="s">
        <v>242</v>
      </c>
      <c r="C124" s="167" t="s">
        <v>433</v>
      </c>
      <c r="D124" s="167" t="s">
        <v>242</v>
      </c>
      <c r="E124" s="167" t="s">
        <v>433</v>
      </c>
      <c r="F124" s="167" t="s">
        <v>434</v>
      </c>
      <c r="G124" s="167" t="s">
        <v>429</v>
      </c>
      <c r="H124" s="167">
        <v>-87179.782999999996</v>
      </c>
      <c r="I124" s="167" t="s">
        <v>601</v>
      </c>
    </row>
    <row r="125" spans="1:9" s="167" customFormat="1" x14ac:dyDescent="0.2">
      <c r="A125" s="167" t="s">
        <v>226</v>
      </c>
      <c r="B125" s="167" t="s">
        <v>242</v>
      </c>
      <c r="C125" s="167" t="s">
        <v>435</v>
      </c>
      <c r="D125" s="167" t="s">
        <v>242</v>
      </c>
      <c r="E125" s="167" t="s">
        <v>435</v>
      </c>
      <c r="F125" s="167" t="s">
        <v>436</v>
      </c>
      <c r="G125" s="167" t="s">
        <v>429</v>
      </c>
      <c r="H125" s="167">
        <v>-301406.76500000001</v>
      </c>
    </row>
    <row r="126" spans="1:9" s="167" customFormat="1" x14ac:dyDescent="0.2">
      <c r="A126" s="167" t="s">
        <v>226</v>
      </c>
      <c r="B126" s="167" t="s">
        <v>242</v>
      </c>
      <c r="C126" s="167" t="s">
        <v>437</v>
      </c>
      <c r="D126" s="167" t="s">
        <v>242</v>
      </c>
      <c r="E126" s="167" t="s">
        <v>437</v>
      </c>
      <c r="F126" s="167" t="s">
        <v>438</v>
      </c>
      <c r="G126" s="167" t="s">
        <v>429</v>
      </c>
      <c r="H126" s="167">
        <v>-1253.3489999999999</v>
      </c>
    </row>
    <row r="127" spans="1:9" s="167" customFormat="1" x14ac:dyDescent="0.2">
      <c r="A127" s="167" t="s">
        <v>226</v>
      </c>
      <c r="B127" s="167" t="s">
        <v>230</v>
      </c>
      <c r="C127" s="167" t="s">
        <v>439</v>
      </c>
      <c r="D127" s="167" t="s">
        <v>230</v>
      </c>
      <c r="E127" s="167" t="s">
        <v>439</v>
      </c>
      <c r="F127" s="167" t="s">
        <v>440</v>
      </c>
      <c r="G127" s="167" t="s">
        <v>429</v>
      </c>
      <c r="H127" s="167">
        <v>-0.06</v>
      </c>
    </row>
    <row r="128" spans="1:9" s="167" customFormat="1" x14ac:dyDescent="0.2">
      <c r="A128" s="167" t="s">
        <v>226</v>
      </c>
      <c r="B128" s="167" t="s">
        <v>230</v>
      </c>
      <c r="C128" s="167" t="s">
        <v>441</v>
      </c>
      <c r="D128" s="167" t="s">
        <v>230</v>
      </c>
      <c r="E128" s="167" t="s">
        <v>441</v>
      </c>
      <c r="F128" s="167" t="s">
        <v>442</v>
      </c>
      <c r="G128" s="167" t="s">
        <v>429</v>
      </c>
      <c r="H128" s="167">
        <v>-6629.5</v>
      </c>
    </row>
    <row r="129" spans="1:8" s="167" customFormat="1" x14ac:dyDescent="0.2">
      <c r="A129" s="167" t="s">
        <v>226</v>
      </c>
      <c r="B129" s="167" t="s">
        <v>242</v>
      </c>
      <c r="C129" s="167" t="s">
        <v>443</v>
      </c>
      <c r="D129" s="167" t="s">
        <v>242</v>
      </c>
      <c r="E129" s="167" t="s">
        <v>443</v>
      </c>
      <c r="F129" s="167" t="s">
        <v>444</v>
      </c>
      <c r="G129" s="167" t="s">
        <v>429</v>
      </c>
      <c r="H129" s="167">
        <v>-11947</v>
      </c>
    </row>
    <row r="130" spans="1:8" s="167" customFormat="1" x14ac:dyDescent="0.2">
      <c r="A130" s="167" t="s">
        <v>226</v>
      </c>
      <c r="B130" s="167" t="s">
        <v>242</v>
      </c>
      <c r="C130" s="167" t="s">
        <v>445</v>
      </c>
      <c r="D130" s="167" t="s">
        <v>242</v>
      </c>
      <c r="E130" s="167" t="s">
        <v>445</v>
      </c>
      <c r="F130" s="167" t="s">
        <v>446</v>
      </c>
      <c r="G130" s="167" t="s">
        <v>429</v>
      </c>
      <c r="H130" s="167">
        <v>-261747.55</v>
      </c>
    </row>
    <row r="131" spans="1:8" s="167" customFormat="1" x14ac:dyDescent="0.2">
      <c r="A131" s="167" t="s">
        <v>226</v>
      </c>
      <c r="B131" s="167" t="s">
        <v>242</v>
      </c>
      <c r="C131" s="167" t="s">
        <v>447</v>
      </c>
      <c r="D131" s="167" t="s">
        <v>242</v>
      </c>
      <c r="E131" s="167" t="s">
        <v>447</v>
      </c>
      <c r="F131" s="167" t="s">
        <v>448</v>
      </c>
      <c r="G131" s="167" t="s">
        <v>429</v>
      </c>
      <c r="H131" s="167">
        <v>-4033.66</v>
      </c>
    </row>
    <row r="132" spans="1:8" s="167" customFormat="1" x14ac:dyDescent="0.2">
      <c r="A132" s="167" t="s">
        <v>226</v>
      </c>
      <c r="B132" s="167" t="s">
        <v>242</v>
      </c>
      <c r="C132" s="167" t="s">
        <v>449</v>
      </c>
      <c r="D132" s="167" t="s">
        <v>242</v>
      </c>
      <c r="E132" s="167" t="s">
        <v>449</v>
      </c>
      <c r="F132" s="167" t="s">
        <v>450</v>
      </c>
      <c r="G132" s="167" t="s">
        <v>429</v>
      </c>
      <c r="H132" s="167">
        <v>-60635.14</v>
      </c>
    </row>
    <row r="133" spans="1:8" s="167" customFormat="1" x14ac:dyDescent="0.2">
      <c r="A133" s="167" t="s">
        <v>226</v>
      </c>
      <c r="B133" s="167" t="s">
        <v>242</v>
      </c>
      <c r="C133" s="167" t="s">
        <v>451</v>
      </c>
      <c r="D133" s="167" t="s">
        <v>242</v>
      </c>
      <c r="E133" s="167" t="s">
        <v>451</v>
      </c>
      <c r="F133" s="167" t="s">
        <v>452</v>
      </c>
      <c r="G133" s="167" t="s">
        <v>429</v>
      </c>
      <c r="H133" s="167">
        <v>-55181</v>
      </c>
    </row>
    <row r="134" spans="1:8" s="167" customFormat="1" x14ac:dyDescent="0.2">
      <c r="A134" s="167" t="s">
        <v>347</v>
      </c>
      <c r="B134" s="167" t="s">
        <v>226</v>
      </c>
      <c r="C134" s="167" t="s">
        <v>226</v>
      </c>
      <c r="D134" s="167" t="s">
        <v>226</v>
      </c>
      <c r="E134" s="167" t="s">
        <v>226</v>
      </c>
      <c r="F134" s="167" t="s">
        <v>453</v>
      </c>
      <c r="G134" s="167" t="s">
        <v>226</v>
      </c>
      <c r="H134" s="167">
        <v>0</v>
      </c>
    </row>
    <row r="135" spans="1:8" s="167" customFormat="1" x14ac:dyDescent="0.2">
      <c r="A135" s="167" t="s">
        <v>228</v>
      </c>
      <c r="B135" s="167" t="s">
        <v>226</v>
      </c>
      <c r="C135" s="167" t="s">
        <v>226</v>
      </c>
      <c r="D135" s="167" t="s">
        <v>226</v>
      </c>
      <c r="E135" s="167" t="s">
        <v>226</v>
      </c>
      <c r="F135" s="167" t="s">
        <v>454</v>
      </c>
      <c r="G135" s="167" t="s">
        <v>226</v>
      </c>
      <c r="H135" s="167">
        <v>0</v>
      </c>
    </row>
    <row r="136" spans="1:8" s="167" customFormat="1" x14ac:dyDescent="0.2">
      <c r="A136" s="167" t="s">
        <v>247</v>
      </c>
      <c r="B136" s="167" t="s">
        <v>226</v>
      </c>
      <c r="C136" s="167" t="s">
        <v>226</v>
      </c>
      <c r="D136" s="167" t="s">
        <v>226</v>
      </c>
      <c r="E136" s="167" t="s">
        <v>226</v>
      </c>
      <c r="F136" s="167" t="s">
        <v>455</v>
      </c>
      <c r="G136" s="167" t="s">
        <v>226</v>
      </c>
      <c r="H136" s="167">
        <v>0</v>
      </c>
    </row>
    <row r="137" spans="1:8" s="167" customFormat="1" x14ac:dyDescent="0.2">
      <c r="A137" s="167" t="s">
        <v>226</v>
      </c>
      <c r="B137" s="167" t="s">
        <v>242</v>
      </c>
      <c r="C137" s="167" t="s">
        <v>456</v>
      </c>
      <c r="D137" s="167" t="s">
        <v>242</v>
      </c>
      <c r="E137" s="167" t="s">
        <v>456</v>
      </c>
      <c r="F137" s="167" t="s">
        <v>457</v>
      </c>
      <c r="G137" s="167" t="s">
        <v>458</v>
      </c>
      <c r="H137" s="167">
        <v>8298984.6349999998</v>
      </c>
    </row>
    <row r="138" spans="1:8" s="167" customFormat="1" x14ac:dyDescent="0.2">
      <c r="A138" s="167" t="s">
        <v>226</v>
      </c>
      <c r="B138" s="167" t="s">
        <v>242</v>
      </c>
      <c r="C138" s="167" t="s">
        <v>459</v>
      </c>
      <c r="D138" s="167" t="s">
        <v>242</v>
      </c>
      <c r="E138" s="167" t="s">
        <v>459</v>
      </c>
      <c r="F138" s="167" t="s">
        <v>460</v>
      </c>
      <c r="G138" s="167" t="s">
        <v>458</v>
      </c>
      <c r="H138" s="167">
        <v>105400.18799999999</v>
      </c>
    </row>
    <row r="139" spans="1:8" s="167" customFormat="1" x14ac:dyDescent="0.2">
      <c r="A139" s="167" t="s">
        <v>226</v>
      </c>
      <c r="B139" s="167" t="s">
        <v>242</v>
      </c>
      <c r="C139" s="167" t="s">
        <v>461</v>
      </c>
      <c r="D139" s="167" t="s">
        <v>242</v>
      </c>
      <c r="E139" s="167" t="s">
        <v>461</v>
      </c>
      <c r="F139" s="167" t="s">
        <v>462</v>
      </c>
      <c r="G139" s="167" t="s">
        <v>458</v>
      </c>
      <c r="H139" s="167">
        <v>74575.593999999997</v>
      </c>
    </row>
    <row r="140" spans="1:8" s="167" customFormat="1" x14ac:dyDescent="0.2">
      <c r="A140" s="167" t="s">
        <v>226</v>
      </c>
      <c r="B140" s="167" t="s">
        <v>242</v>
      </c>
      <c r="C140" s="167" t="s">
        <v>463</v>
      </c>
      <c r="D140" s="167" t="s">
        <v>242</v>
      </c>
      <c r="E140" s="167" t="s">
        <v>463</v>
      </c>
      <c r="F140" s="167" t="s">
        <v>464</v>
      </c>
      <c r="G140" s="167" t="s">
        <v>458</v>
      </c>
      <c r="H140" s="167">
        <v>3735.806</v>
      </c>
    </row>
    <row r="141" spans="1:8" s="167" customFormat="1" x14ac:dyDescent="0.2">
      <c r="A141" s="167" t="s">
        <v>247</v>
      </c>
      <c r="B141" s="167" t="s">
        <v>226</v>
      </c>
      <c r="C141" s="167" t="s">
        <v>226</v>
      </c>
      <c r="D141" s="167" t="s">
        <v>226</v>
      </c>
      <c r="E141" s="167" t="s">
        <v>226</v>
      </c>
      <c r="F141" s="167" t="s">
        <v>465</v>
      </c>
      <c r="G141" s="167" t="s">
        <v>226</v>
      </c>
      <c r="H141" s="167">
        <v>0</v>
      </c>
    </row>
    <row r="142" spans="1:8" s="167" customFormat="1" x14ac:dyDescent="0.2">
      <c r="A142" s="167" t="s">
        <v>226</v>
      </c>
      <c r="B142" s="167" t="s">
        <v>242</v>
      </c>
      <c r="C142" s="167" t="s">
        <v>466</v>
      </c>
      <c r="D142" s="167" t="s">
        <v>242</v>
      </c>
      <c r="E142" s="167" t="s">
        <v>466</v>
      </c>
      <c r="F142" s="167" t="s">
        <v>467</v>
      </c>
      <c r="G142" s="167" t="s">
        <v>458</v>
      </c>
      <c r="H142" s="167">
        <v>722910.495</v>
      </c>
    </row>
    <row r="143" spans="1:8" s="167" customFormat="1" x14ac:dyDescent="0.2">
      <c r="A143" s="167" t="s">
        <v>226</v>
      </c>
      <c r="B143" s="167" t="s">
        <v>242</v>
      </c>
      <c r="C143" s="167" t="s">
        <v>468</v>
      </c>
      <c r="D143" s="167" t="s">
        <v>242</v>
      </c>
      <c r="E143" s="167" t="s">
        <v>468</v>
      </c>
      <c r="F143" s="167" t="s">
        <v>469</v>
      </c>
      <c r="G143" s="167" t="s">
        <v>458</v>
      </c>
      <c r="H143" s="167">
        <v>88318.130999999994</v>
      </c>
    </row>
    <row r="144" spans="1:8" s="167" customFormat="1" x14ac:dyDescent="0.2">
      <c r="A144" s="167" t="s">
        <v>226</v>
      </c>
      <c r="B144" s="167" t="s">
        <v>242</v>
      </c>
      <c r="C144" s="167" t="s">
        <v>470</v>
      </c>
      <c r="D144" s="167" t="s">
        <v>242</v>
      </c>
      <c r="E144" s="167" t="s">
        <v>470</v>
      </c>
      <c r="F144" s="167" t="s">
        <v>471</v>
      </c>
      <c r="G144" s="167" t="s">
        <v>458</v>
      </c>
      <c r="H144" s="167">
        <v>72537.016000000003</v>
      </c>
    </row>
    <row r="145" spans="1:8" s="167" customFormat="1" x14ac:dyDescent="0.2">
      <c r="A145" s="167" t="s">
        <v>247</v>
      </c>
      <c r="B145" s="167" t="s">
        <v>226</v>
      </c>
      <c r="C145" s="167" t="s">
        <v>226</v>
      </c>
      <c r="D145" s="167" t="s">
        <v>226</v>
      </c>
      <c r="E145" s="167" t="s">
        <v>226</v>
      </c>
      <c r="F145" s="167" t="s">
        <v>472</v>
      </c>
      <c r="G145" s="167" t="s">
        <v>226</v>
      </c>
      <c r="H145" s="167">
        <v>0</v>
      </c>
    </row>
    <row r="146" spans="1:8" s="167" customFormat="1" x14ac:dyDescent="0.2">
      <c r="A146" s="167" t="s">
        <v>226</v>
      </c>
      <c r="B146" s="167" t="s">
        <v>242</v>
      </c>
      <c r="C146" s="167" t="s">
        <v>473</v>
      </c>
      <c r="D146" s="167" t="s">
        <v>242</v>
      </c>
      <c r="E146" s="167" t="s">
        <v>473</v>
      </c>
      <c r="F146" s="167" t="s">
        <v>474</v>
      </c>
      <c r="G146" s="167" t="s">
        <v>458</v>
      </c>
      <c r="H146" s="167">
        <v>170673.66</v>
      </c>
    </row>
    <row r="147" spans="1:8" s="167" customFormat="1" x14ac:dyDescent="0.2">
      <c r="A147" s="167" t="s">
        <v>226</v>
      </c>
      <c r="B147" s="167" t="s">
        <v>242</v>
      </c>
      <c r="C147" s="167" t="s">
        <v>475</v>
      </c>
      <c r="D147" s="167" t="s">
        <v>242</v>
      </c>
      <c r="E147" s="167" t="s">
        <v>475</v>
      </c>
      <c r="F147" s="167" t="s">
        <v>476</v>
      </c>
      <c r="G147" s="167" t="s">
        <v>458</v>
      </c>
      <c r="H147" s="167">
        <v>39906.089999999997</v>
      </c>
    </row>
    <row r="148" spans="1:8" s="167" customFormat="1" x14ac:dyDescent="0.2">
      <c r="A148" s="167" t="s">
        <v>226</v>
      </c>
      <c r="B148" s="167" t="s">
        <v>242</v>
      </c>
      <c r="C148" s="167" t="s">
        <v>477</v>
      </c>
      <c r="D148" s="167" t="s">
        <v>242</v>
      </c>
      <c r="E148" s="167" t="s">
        <v>477</v>
      </c>
      <c r="F148" s="167" t="s">
        <v>478</v>
      </c>
      <c r="G148" s="167" t="s">
        <v>458</v>
      </c>
      <c r="H148" s="167">
        <v>4583.8469999999998</v>
      </c>
    </row>
    <row r="149" spans="1:8" s="167" customFormat="1" x14ac:dyDescent="0.2">
      <c r="A149" s="167" t="s">
        <v>226</v>
      </c>
      <c r="B149" s="167" t="s">
        <v>242</v>
      </c>
      <c r="C149" s="167" t="s">
        <v>479</v>
      </c>
      <c r="D149" s="167" t="s">
        <v>242</v>
      </c>
      <c r="E149" s="167" t="s">
        <v>479</v>
      </c>
      <c r="F149" s="167" t="s">
        <v>480</v>
      </c>
      <c r="G149" s="167" t="s">
        <v>458</v>
      </c>
      <c r="H149" s="167">
        <v>31946.755000000001</v>
      </c>
    </row>
    <row r="150" spans="1:8" s="167" customFormat="1" x14ac:dyDescent="0.2">
      <c r="A150" s="167" t="s">
        <v>226</v>
      </c>
      <c r="B150" s="167" t="s">
        <v>242</v>
      </c>
      <c r="C150" s="167" t="s">
        <v>481</v>
      </c>
      <c r="D150" s="167" t="s">
        <v>242</v>
      </c>
      <c r="E150" s="167" t="s">
        <v>481</v>
      </c>
      <c r="F150" s="167" t="s">
        <v>482</v>
      </c>
      <c r="G150" s="167" t="s">
        <v>458</v>
      </c>
      <c r="H150" s="167">
        <v>45873.792000000001</v>
      </c>
    </row>
    <row r="151" spans="1:8" s="167" customFormat="1" x14ac:dyDescent="0.2">
      <c r="A151" s="167" t="s">
        <v>226</v>
      </c>
      <c r="B151" s="167" t="s">
        <v>242</v>
      </c>
      <c r="C151" s="167" t="s">
        <v>483</v>
      </c>
      <c r="D151" s="167" t="s">
        <v>242</v>
      </c>
      <c r="E151" s="167" t="s">
        <v>483</v>
      </c>
      <c r="F151" s="167" t="s">
        <v>484</v>
      </c>
      <c r="G151" s="167" t="s">
        <v>458</v>
      </c>
      <c r="H151" s="167">
        <v>20516.503000000001</v>
      </c>
    </row>
    <row r="152" spans="1:8" s="167" customFormat="1" x14ac:dyDescent="0.2">
      <c r="A152" s="167" t="s">
        <v>226</v>
      </c>
      <c r="B152" s="167" t="s">
        <v>242</v>
      </c>
      <c r="C152" s="167" t="s">
        <v>485</v>
      </c>
      <c r="D152" s="167" t="s">
        <v>242</v>
      </c>
      <c r="E152" s="167" t="s">
        <v>485</v>
      </c>
      <c r="F152" s="167" t="s">
        <v>486</v>
      </c>
      <c r="G152" s="167" t="s">
        <v>458</v>
      </c>
      <c r="H152" s="167">
        <v>131647.57199999999</v>
      </c>
    </row>
    <row r="153" spans="1:8" s="167" customFormat="1" x14ac:dyDescent="0.2">
      <c r="A153" s="167" t="s">
        <v>226</v>
      </c>
      <c r="B153" s="167" t="s">
        <v>242</v>
      </c>
      <c r="C153" s="167" t="s">
        <v>487</v>
      </c>
      <c r="D153" s="167" t="s">
        <v>242</v>
      </c>
      <c r="E153" s="167" t="s">
        <v>487</v>
      </c>
      <c r="F153" s="167" t="s">
        <v>488</v>
      </c>
      <c r="G153" s="167" t="s">
        <v>458</v>
      </c>
      <c r="H153" s="167">
        <v>66330.39</v>
      </c>
    </row>
    <row r="154" spans="1:8" s="167" customFormat="1" x14ac:dyDescent="0.2">
      <c r="A154" s="167" t="s">
        <v>247</v>
      </c>
      <c r="B154" s="167" t="s">
        <v>226</v>
      </c>
      <c r="C154" s="167" t="s">
        <v>226</v>
      </c>
      <c r="D154" s="167" t="s">
        <v>226</v>
      </c>
      <c r="E154" s="167" t="s">
        <v>226</v>
      </c>
      <c r="F154" s="167" t="s">
        <v>489</v>
      </c>
      <c r="G154" s="167" t="s">
        <v>226</v>
      </c>
      <c r="H154" s="167">
        <v>0</v>
      </c>
    </row>
    <row r="155" spans="1:8" s="167" customFormat="1" x14ac:dyDescent="0.2">
      <c r="A155" s="167" t="s">
        <v>226</v>
      </c>
      <c r="B155" s="167" t="s">
        <v>242</v>
      </c>
      <c r="C155" s="167" t="s">
        <v>490</v>
      </c>
      <c r="D155" s="167" t="s">
        <v>242</v>
      </c>
      <c r="E155" s="167" t="s">
        <v>490</v>
      </c>
      <c r="F155" s="167" t="s">
        <v>491</v>
      </c>
      <c r="G155" s="167" t="s">
        <v>458</v>
      </c>
      <c r="H155" s="167">
        <v>49068.377999999997</v>
      </c>
    </row>
    <row r="156" spans="1:8" s="167" customFormat="1" x14ac:dyDescent="0.2">
      <c r="A156" s="167" t="s">
        <v>226</v>
      </c>
      <c r="B156" s="167" t="s">
        <v>242</v>
      </c>
      <c r="C156" s="167" t="s">
        <v>492</v>
      </c>
      <c r="D156" s="167" t="s">
        <v>242</v>
      </c>
      <c r="E156" s="167" t="s">
        <v>492</v>
      </c>
      <c r="F156" s="167" t="s">
        <v>493</v>
      </c>
      <c r="G156" s="167" t="s">
        <v>458</v>
      </c>
      <c r="H156" s="167">
        <v>7939.42</v>
      </c>
    </row>
    <row r="157" spans="1:8" s="167" customFormat="1" x14ac:dyDescent="0.2">
      <c r="A157" s="167" t="s">
        <v>228</v>
      </c>
      <c r="B157" s="167" t="s">
        <v>226</v>
      </c>
      <c r="C157" s="167" t="s">
        <v>226</v>
      </c>
      <c r="D157" s="167" t="s">
        <v>226</v>
      </c>
      <c r="E157" s="167" t="s">
        <v>226</v>
      </c>
      <c r="F157" s="167" t="s">
        <v>494</v>
      </c>
      <c r="G157" s="167" t="s">
        <v>226</v>
      </c>
      <c r="H157" s="167">
        <v>0</v>
      </c>
    </row>
    <row r="158" spans="1:8" s="167" customFormat="1" x14ac:dyDescent="0.2">
      <c r="A158" s="167" t="s">
        <v>247</v>
      </c>
      <c r="B158" s="167" t="s">
        <v>226</v>
      </c>
      <c r="C158" s="167" t="s">
        <v>226</v>
      </c>
      <c r="D158" s="167" t="s">
        <v>226</v>
      </c>
      <c r="E158" s="167" t="s">
        <v>226</v>
      </c>
      <c r="F158" s="167" t="s">
        <v>495</v>
      </c>
      <c r="G158" s="167" t="s">
        <v>226</v>
      </c>
      <c r="H158" s="167">
        <v>0</v>
      </c>
    </row>
    <row r="159" spans="1:8" s="167" customFormat="1" x14ac:dyDescent="0.2">
      <c r="A159" s="167" t="s">
        <v>226</v>
      </c>
      <c r="B159" s="167" t="s">
        <v>242</v>
      </c>
      <c r="C159" s="167" t="s">
        <v>496</v>
      </c>
      <c r="D159" s="167" t="s">
        <v>242</v>
      </c>
      <c r="E159" s="167" t="s">
        <v>496</v>
      </c>
      <c r="F159" s="167" t="s">
        <v>497</v>
      </c>
      <c r="G159" s="167" t="s">
        <v>458</v>
      </c>
      <c r="H159" s="167">
        <v>341562.18300000002</v>
      </c>
    </row>
    <row r="160" spans="1:8" s="167" customFormat="1" x14ac:dyDescent="0.2">
      <c r="A160" s="167" t="s">
        <v>226</v>
      </c>
      <c r="B160" s="167" t="s">
        <v>242</v>
      </c>
      <c r="C160" s="167" t="s">
        <v>498</v>
      </c>
      <c r="D160" s="167" t="s">
        <v>242</v>
      </c>
      <c r="E160" s="167" t="s">
        <v>498</v>
      </c>
      <c r="F160" s="167" t="s">
        <v>499</v>
      </c>
      <c r="G160" s="167" t="s">
        <v>458</v>
      </c>
      <c r="H160" s="167">
        <v>64255.769</v>
      </c>
    </row>
    <row r="161" spans="1:8" s="167" customFormat="1" x14ac:dyDescent="0.2">
      <c r="A161" s="167" t="s">
        <v>226</v>
      </c>
      <c r="B161" s="167" t="s">
        <v>242</v>
      </c>
      <c r="C161" s="167" t="s">
        <v>500</v>
      </c>
      <c r="D161" s="167" t="s">
        <v>242</v>
      </c>
      <c r="E161" s="167" t="s">
        <v>500</v>
      </c>
      <c r="F161" s="167" t="s">
        <v>501</v>
      </c>
      <c r="G161" s="167" t="s">
        <v>458</v>
      </c>
      <c r="H161" s="167">
        <v>81350.032999999996</v>
      </c>
    </row>
    <row r="162" spans="1:8" s="167" customFormat="1" x14ac:dyDescent="0.2">
      <c r="A162" s="167" t="s">
        <v>226</v>
      </c>
      <c r="B162" s="167" t="s">
        <v>242</v>
      </c>
      <c r="C162" s="167" t="s">
        <v>502</v>
      </c>
      <c r="D162" s="167" t="s">
        <v>242</v>
      </c>
      <c r="E162" s="167" t="s">
        <v>502</v>
      </c>
      <c r="F162" s="167" t="s">
        <v>503</v>
      </c>
      <c r="G162" s="167" t="s">
        <v>458</v>
      </c>
      <c r="H162" s="167">
        <v>45405.243999999999</v>
      </c>
    </row>
    <row r="163" spans="1:8" s="167" customFormat="1" x14ac:dyDescent="0.2">
      <c r="A163" s="167" t="s">
        <v>226</v>
      </c>
      <c r="B163" s="167" t="s">
        <v>242</v>
      </c>
      <c r="C163" s="167" t="s">
        <v>504</v>
      </c>
      <c r="D163" s="167" t="s">
        <v>242</v>
      </c>
      <c r="E163" s="167" t="s">
        <v>504</v>
      </c>
      <c r="F163" s="167" t="s">
        <v>505</v>
      </c>
      <c r="G163" s="167" t="s">
        <v>458</v>
      </c>
      <c r="H163" s="167">
        <v>1520.625</v>
      </c>
    </row>
    <row r="164" spans="1:8" s="167" customFormat="1" x14ac:dyDescent="0.2">
      <c r="A164" s="167" t="s">
        <v>226</v>
      </c>
      <c r="B164" s="167" t="s">
        <v>242</v>
      </c>
      <c r="C164" s="167" t="s">
        <v>506</v>
      </c>
      <c r="D164" s="167" t="s">
        <v>242</v>
      </c>
      <c r="E164" s="167" t="s">
        <v>506</v>
      </c>
      <c r="F164" s="167" t="s">
        <v>507</v>
      </c>
      <c r="G164" s="167" t="s">
        <v>458</v>
      </c>
      <c r="H164" s="167">
        <v>166100</v>
      </c>
    </row>
    <row r="165" spans="1:8" s="167" customFormat="1" x14ac:dyDescent="0.2">
      <c r="A165" s="167" t="s">
        <v>226</v>
      </c>
      <c r="B165" s="167" t="s">
        <v>242</v>
      </c>
      <c r="C165" s="167" t="s">
        <v>508</v>
      </c>
      <c r="D165" s="167" t="s">
        <v>242</v>
      </c>
      <c r="E165" s="167" t="s">
        <v>508</v>
      </c>
      <c r="F165" s="167" t="s">
        <v>509</v>
      </c>
      <c r="G165" s="167" t="s">
        <v>458</v>
      </c>
      <c r="H165" s="167">
        <v>42221.883999999998</v>
      </c>
    </row>
    <row r="166" spans="1:8" s="167" customFormat="1" x14ac:dyDescent="0.2">
      <c r="A166" s="167" t="s">
        <v>247</v>
      </c>
      <c r="B166" s="167" t="s">
        <v>226</v>
      </c>
      <c r="C166" s="167" t="s">
        <v>226</v>
      </c>
      <c r="D166" s="167" t="s">
        <v>226</v>
      </c>
      <c r="E166" s="167" t="s">
        <v>226</v>
      </c>
      <c r="F166" s="167" t="s">
        <v>510</v>
      </c>
      <c r="G166" s="167" t="s">
        <v>226</v>
      </c>
      <c r="H166" s="167">
        <v>0</v>
      </c>
    </row>
    <row r="167" spans="1:8" s="167" customFormat="1" x14ac:dyDescent="0.2">
      <c r="A167" s="167" t="s">
        <v>226</v>
      </c>
      <c r="B167" s="167" t="s">
        <v>242</v>
      </c>
      <c r="C167" s="167" t="s">
        <v>511</v>
      </c>
      <c r="D167" s="167" t="s">
        <v>242</v>
      </c>
      <c r="E167" s="167" t="s">
        <v>511</v>
      </c>
      <c r="F167" s="167" t="s">
        <v>512</v>
      </c>
      <c r="G167" s="167" t="s">
        <v>458</v>
      </c>
      <c r="H167" s="167">
        <v>52924.423999999999</v>
      </c>
    </row>
    <row r="168" spans="1:8" s="167" customFormat="1" x14ac:dyDescent="0.2">
      <c r="A168" s="167" t="s">
        <v>226</v>
      </c>
      <c r="B168" s="167" t="s">
        <v>242</v>
      </c>
      <c r="C168" s="167" t="s">
        <v>513</v>
      </c>
      <c r="D168" s="167" t="s">
        <v>242</v>
      </c>
      <c r="E168" s="167" t="s">
        <v>513</v>
      </c>
      <c r="F168" s="167" t="s">
        <v>514</v>
      </c>
      <c r="G168" s="167" t="s">
        <v>458</v>
      </c>
      <c r="H168" s="167">
        <v>7675.68</v>
      </c>
    </row>
    <row r="169" spans="1:8" s="167" customFormat="1" x14ac:dyDescent="0.2">
      <c r="A169" s="167" t="s">
        <v>226</v>
      </c>
      <c r="B169" s="167" t="s">
        <v>242</v>
      </c>
      <c r="C169" s="167" t="s">
        <v>515</v>
      </c>
      <c r="D169" s="167" t="s">
        <v>242</v>
      </c>
      <c r="E169" s="167" t="s">
        <v>515</v>
      </c>
      <c r="F169" s="167" t="s">
        <v>488</v>
      </c>
      <c r="G169" s="167" t="s">
        <v>458</v>
      </c>
      <c r="H169" s="167">
        <v>3039.4050000000002</v>
      </c>
    </row>
    <row r="170" spans="1:8" s="167" customFormat="1" x14ac:dyDescent="0.2">
      <c r="A170" s="167" t="s">
        <v>226</v>
      </c>
      <c r="B170" s="167" t="s">
        <v>242</v>
      </c>
      <c r="C170" s="167" t="s">
        <v>516</v>
      </c>
      <c r="D170" s="167" t="s">
        <v>242</v>
      </c>
      <c r="E170" s="167" t="s">
        <v>516</v>
      </c>
      <c r="F170" s="167" t="s">
        <v>517</v>
      </c>
      <c r="G170" s="167" t="s">
        <v>458</v>
      </c>
      <c r="H170" s="167">
        <v>3177.7040000000002</v>
      </c>
    </row>
    <row r="171" spans="1:8" s="167" customFormat="1" x14ac:dyDescent="0.2">
      <c r="A171" s="167" t="s">
        <v>226</v>
      </c>
      <c r="B171" s="167" t="s">
        <v>242</v>
      </c>
      <c r="C171" s="167" t="s">
        <v>518</v>
      </c>
      <c r="D171" s="167" t="s">
        <v>242</v>
      </c>
      <c r="E171" s="167" t="s">
        <v>518</v>
      </c>
      <c r="F171" s="167" t="s">
        <v>519</v>
      </c>
      <c r="G171" s="167" t="s">
        <v>458</v>
      </c>
      <c r="H171" s="167">
        <v>11231.120999999999</v>
      </c>
    </row>
    <row r="172" spans="1:8" s="167" customFormat="1" x14ac:dyDescent="0.2">
      <c r="A172" s="167" t="s">
        <v>226</v>
      </c>
      <c r="B172" s="167" t="s">
        <v>242</v>
      </c>
      <c r="C172" s="167" t="s">
        <v>520</v>
      </c>
      <c r="D172" s="167" t="s">
        <v>242</v>
      </c>
      <c r="E172" s="167" t="s">
        <v>520</v>
      </c>
      <c r="F172" s="167" t="s">
        <v>521</v>
      </c>
      <c r="G172" s="167" t="s">
        <v>458</v>
      </c>
      <c r="H172" s="167">
        <v>16367.362999999999</v>
      </c>
    </row>
    <row r="173" spans="1:8" s="167" customFormat="1" x14ac:dyDescent="0.2">
      <c r="A173" s="167" t="s">
        <v>226</v>
      </c>
      <c r="B173" s="167" t="s">
        <v>242</v>
      </c>
      <c r="C173" s="167" t="s">
        <v>522</v>
      </c>
      <c r="D173" s="167" t="s">
        <v>242</v>
      </c>
      <c r="E173" s="167" t="s">
        <v>522</v>
      </c>
      <c r="F173" s="167" t="s">
        <v>523</v>
      </c>
      <c r="G173" s="167" t="s">
        <v>458</v>
      </c>
      <c r="H173" s="167">
        <v>15290.183000000001</v>
      </c>
    </row>
    <row r="174" spans="1:8" s="167" customFormat="1" x14ac:dyDescent="0.2">
      <c r="A174" s="167" t="s">
        <v>226</v>
      </c>
      <c r="B174" s="167" t="s">
        <v>242</v>
      </c>
      <c r="C174" s="167" t="s">
        <v>524</v>
      </c>
      <c r="D174" s="167" t="s">
        <v>242</v>
      </c>
      <c r="E174" s="167" t="s">
        <v>524</v>
      </c>
      <c r="F174" s="167" t="s">
        <v>525</v>
      </c>
      <c r="G174" s="167" t="s">
        <v>458</v>
      </c>
      <c r="H174" s="167">
        <v>3293.752</v>
      </c>
    </row>
    <row r="175" spans="1:8" s="167" customFormat="1" x14ac:dyDescent="0.2">
      <c r="A175" s="167" t="s">
        <v>226</v>
      </c>
      <c r="B175" s="167" t="s">
        <v>242</v>
      </c>
      <c r="C175" s="167" t="s">
        <v>526</v>
      </c>
      <c r="D175" s="167" t="s">
        <v>242</v>
      </c>
      <c r="E175" s="167" t="s">
        <v>526</v>
      </c>
      <c r="F175" s="167" t="s">
        <v>527</v>
      </c>
      <c r="G175" s="167" t="s">
        <v>458</v>
      </c>
      <c r="H175" s="167">
        <v>22686.312000000002</v>
      </c>
    </row>
    <row r="176" spans="1:8" s="167" customFormat="1" x14ac:dyDescent="0.2">
      <c r="A176" s="167" t="s">
        <v>226</v>
      </c>
      <c r="B176" s="167" t="s">
        <v>242</v>
      </c>
      <c r="C176" s="167" t="s">
        <v>528</v>
      </c>
      <c r="D176" s="167" t="s">
        <v>242</v>
      </c>
      <c r="E176" s="167" t="s">
        <v>528</v>
      </c>
      <c r="F176" s="167" t="s">
        <v>529</v>
      </c>
      <c r="G176" s="167" t="s">
        <v>458</v>
      </c>
      <c r="H176" s="167">
        <v>8817.8050000000003</v>
      </c>
    </row>
    <row r="177" spans="1:8" s="167" customFormat="1" x14ac:dyDescent="0.2">
      <c r="A177" s="167" t="s">
        <v>226</v>
      </c>
      <c r="B177" s="167" t="s">
        <v>242</v>
      </c>
      <c r="C177" s="167" t="s">
        <v>530</v>
      </c>
      <c r="D177" s="167" t="s">
        <v>242</v>
      </c>
      <c r="E177" s="167" t="s">
        <v>530</v>
      </c>
      <c r="F177" s="167" t="s">
        <v>531</v>
      </c>
      <c r="G177" s="167" t="s">
        <v>458</v>
      </c>
      <c r="H177" s="167">
        <v>250</v>
      </c>
    </row>
    <row r="178" spans="1:8" s="167" customFormat="1" x14ac:dyDescent="0.2">
      <c r="A178" s="167" t="s">
        <v>226</v>
      </c>
      <c r="B178" s="167" t="s">
        <v>242</v>
      </c>
      <c r="C178" s="167" t="s">
        <v>532</v>
      </c>
      <c r="D178" s="167" t="s">
        <v>242</v>
      </c>
      <c r="E178" s="167" t="s">
        <v>532</v>
      </c>
      <c r="F178" s="167" t="s">
        <v>533</v>
      </c>
      <c r="G178" s="167" t="s">
        <v>458</v>
      </c>
      <c r="H178" s="167">
        <v>9982.5049999999992</v>
      </c>
    </row>
    <row r="179" spans="1:8" s="167" customFormat="1" x14ac:dyDescent="0.2">
      <c r="A179" s="167" t="s">
        <v>226</v>
      </c>
      <c r="B179" s="167" t="s">
        <v>242</v>
      </c>
      <c r="C179" s="167" t="s">
        <v>534</v>
      </c>
      <c r="D179" s="167" t="s">
        <v>242</v>
      </c>
      <c r="E179" s="167" t="s">
        <v>534</v>
      </c>
      <c r="F179" s="167" t="s">
        <v>535</v>
      </c>
      <c r="G179" s="167" t="s">
        <v>458</v>
      </c>
      <c r="H179" s="167">
        <v>4850</v>
      </c>
    </row>
    <row r="180" spans="1:8" s="167" customFormat="1" x14ac:dyDescent="0.2">
      <c r="A180" s="167" t="s">
        <v>226</v>
      </c>
      <c r="B180" s="167" t="s">
        <v>242</v>
      </c>
      <c r="C180" s="167" t="s">
        <v>536</v>
      </c>
      <c r="D180" s="167" t="s">
        <v>242</v>
      </c>
      <c r="E180" s="167" t="s">
        <v>536</v>
      </c>
      <c r="F180" s="167" t="s">
        <v>537</v>
      </c>
      <c r="G180" s="167" t="s">
        <v>458</v>
      </c>
      <c r="H180" s="167">
        <v>1430.3230000000001</v>
      </c>
    </row>
    <row r="181" spans="1:8" s="167" customFormat="1" x14ac:dyDescent="0.2">
      <c r="A181" s="167" t="s">
        <v>226</v>
      </c>
      <c r="B181" s="167" t="s">
        <v>242</v>
      </c>
      <c r="C181" s="167" t="s">
        <v>538</v>
      </c>
      <c r="D181" s="167" t="s">
        <v>242</v>
      </c>
      <c r="E181" s="167" t="s">
        <v>538</v>
      </c>
      <c r="F181" s="167" t="s">
        <v>539</v>
      </c>
      <c r="G181" s="167" t="s">
        <v>458</v>
      </c>
      <c r="H181" s="167">
        <v>34500</v>
      </c>
    </row>
    <row r="182" spans="1:8" s="167" customFormat="1" x14ac:dyDescent="0.2">
      <c r="A182" s="167" t="s">
        <v>226</v>
      </c>
      <c r="B182" s="167" t="s">
        <v>242</v>
      </c>
      <c r="C182" s="167" t="s">
        <v>540</v>
      </c>
      <c r="D182" s="167" t="s">
        <v>242</v>
      </c>
      <c r="E182" s="167" t="s">
        <v>540</v>
      </c>
      <c r="F182" s="167" t="s">
        <v>541</v>
      </c>
      <c r="G182" s="167" t="s">
        <v>458</v>
      </c>
      <c r="H182" s="167">
        <v>6642</v>
      </c>
    </row>
    <row r="183" spans="1:8" s="167" customFormat="1" x14ac:dyDescent="0.2">
      <c r="A183" s="167" t="s">
        <v>226</v>
      </c>
      <c r="B183" s="167" t="s">
        <v>230</v>
      </c>
      <c r="C183" s="167" t="s">
        <v>542</v>
      </c>
      <c r="D183" s="167" t="s">
        <v>230</v>
      </c>
      <c r="E183" s="167" t="s">
        <v>542</v>
      </c>
      <c r="F183" s="167" t="s">
        <v>543</v>
      </c>
      <c r="G183" s="167" t="s">
        <v>458</v>
      </c>
      <c r="H183" s="167">
        <v>143</v>
      </c>
    </row>
    <row r="184" spans="1:8" s="167" customFormat="1" x14ac:dyDescent="0.2">
      <c r="A184" s="167" t="s">
        <v>226</v>
      </c>
      <c r="B184" s="167" t="s">
        <v>242</v>
      </c>
      <c r="C184" s="167" t="s">
        <v>542</v>
      </c>
      <c r="D184" s="167" t="s">
        <v>242</v>
      </c>
      <c r="E184" s="167" t="s">
        <v>542</v>
      </c>
      <c r="F184" s="167" t="s">
        <v>544</v>
      </c>
      <c r="G184" s="167" t="s">
        <v>458</v>
      </c>
      <c r="H184" s="167">
        <v>21771.078000000001</v>
      </c>
    </row>
    <row r="185" spans="1:8" s="167" customFormat="1" x14ac:dyDescent="0.2">
      <c r="A185" s="167" t="s">
        <v>226</v>
      </c>
      <c r="B185" s="167" t="s">
        <v>242</v>
      </c>
      <c r="C185" s="167" t="s">
        <v>545</v>
      </c>
      <c r="D185" s="167" t="s">
        <v>242</v>
      </c>
      <c r="E185" s="167" t="s">
        <v>545</v>
      </c>
      <c r="F185" s="167" t="s">
        <v>546</v>
      </c>
      <c r="G185" s="167" t="s">
        <v>458</v>
      </c>
      <c r="H185" s="167">
        <v>44986.03</v>
      </c>
    </row>
    <row r="186" spans="1:8" s="167" customFormat="1" x14ac:dyDescent="0.2">
      <c r="A186" s="167" t="s">
        <v>226</v>
      </c>
      <c r="B186" s="167" t="s">
        <v>242</v>
      </c>
      <c r="C186" s="167" t="s">
        <v>547</v>
      </c>
      <c r="D186" s="167" t="s">
        <v>242</v>
      </c>
      <c r="E186" s="167" t="s">
        <v>547</v>
      </c>
      <c r="F186" s="167" t="s">
        <v>548</v>
      </c>
      <c r="G186" s="167" t="s">
        <v>458</v>
      </c>
      <c r="H186" s="167">
        <v>6715.2290000000003</v>
      </c>
    </row>
    <row r="187" spans="1:8" s="167" customFormat="1" x14ac:dyDescent="0.2">
      <c r="A187" s="167" t="s">
        <v>226</v>
      </c>
      <c r="B187" s="167" t="s">
        <v>242</v>
      </c>
      <c r="C187" s="167" t="s">
        <v>549</v>
      </c>
      <c r="D187" s="167" t="s">
        <v>242</v>
      </c>
      <c r="E187" s="167" t="s">
        <v>549</v>
      </c>
      <c r="F187" s="167" t="s">
        <v>550</v>
      </c>
      <c r="G187" s="167" t="s">
        <v>458</v>
      </c>
      <c r="H187" s="167">
        <v>3.0000000000000001E-3</v>
      </c>
    </row>
    <row r="188" spans="1:8" s="167" customFormat="1" x14ac:dyDescent="0.2">
      <c r="A188" s="167" t="s">
        <v>247</v>
      </c>
      <c r="B188" s="167" t="s">
        <v>226</v>
      </c>
      <c r="C188" s="167" t="s">
        <v>226</v>
      </c>
      <c r="D188" s="167" t="s">
        <v>226</v>
      </c>
      <c r="E188" s="167" t="s">
        <v>226</v>
      </c>
      <c r="F188" s="167" t="s">
        <v>551</v>
      </c>
      <c r="G188" s="167" t="s">
        <v>226</v>
      </c>
      <c r="H188" s="167">
        <v>0</v>
      </c>
    </row>
    <row r="189" spans="1:8" s="167" customFormat="1" x14ac:dyDescent="0.2">
      <c r="A189" s="167" t="s">
        <v>226</v>
      </c>
      <c r="B189" s="167" t="s">
        <v>242</v>
      </c>
      <c r="C189" s="167" t="s">
        <v>552</v>
      </c>
      <c r="D189" s="167" t="s">
        <v>242</v>
      </c>
      <c r="E189" s="167" t="s">
        <v>552</v>
      </c>
      <c r="F189" s="167" t="s">
        <v>553</v>
      </c>
      <c r="G189" s="167" t="s">
        <v>458</v>
      </c>
      <c r="H189" s="167">
        <v>72868.770999999993</v>
      </c>
    </row>
    <row r="190" spans="1:8" s="167" customFormat="1" x14ac:dyDescent="0.2">
      <c r="A190" s="167" t="s">
        <v>226</v>
      </c>
      <c r="B190" s="167" t="s">
        <v>242</v>
      </c>
      <c r="C190" s="167" t="s">
        <v>554</v>
      </c>
      <c r="D190" s="167" t="s">
        <v>242</v>
      </c>
      <c r="E190" s="167" t="s">
        <v>554</v>
      </c>
      <c r="F190" s="167" t="s">
        <v>555</v>
      </c>
      <c r="G190" s="167" t="s">
        <v>458</v>
      </c>
      <c r="H190" s="167">
        <v>57112.502999999997</v>
      </c>
    </row>
    <row r="191" spans="1:8" s="167" customFormat="1" x14ac:dyDescent="0.2">
      <c r="A191" s="167" t="s">
        <v>226</v>
      </c>
      <c r="B191" s="167" t="s">
        <v>242</v>
      </c>
      <c r="C191" s="167" t="s">
        <v>556</v>
      </c>
      <c r="D191" s="167" t="s">
        <v>242</v>
      </c>
      <c r="E191" s="167" t="s">
        <v>556</v>
      </c>
      <c r="F191" s="167" t="s">
        <v>557</v>
      </c>
      <c r="G191" s="167" t="s">
        <v>458</v>
      </c>
      <c r="H191" s="167">
        <v>11849.673000000001</v>
      </c>
    </row>
    <row r="192" spans="1:8" s="167" customFormat="1" x14ac:dyDescent="0.2">
      <c r="A192" s="167" t="s">
        <v>226</v>
      </c>
      <c r="B192" s="167" t="s">
        <v>242</v>
      </c>
      <c r="C192" s="167" t="s">
        <v>558</v>
      </c>
      <c r="D192" s="167" t="s">
        <v>242</v>
      </c>
      <c r="E192" s="167" t="s">
        <v>558</v>
      </c>
      <c r="F192" s="167" t="s">
        <v>559</v>
      </c>
      <c r="G192" s="167" t="s">
        <v>458</v>
      </c>
      <c r="H192" s="167">
        <v>114199.96799999999</v>
      </c>
    </row>
    <row r="193" spans="1:8" s="167" customFormat="1" x14ac:dyDescent="0.2">
      <c r="A193" s="167" t="s">
        <v>226</v>
      </c>
      <c r="B193" s="167" t="s">
        <v>242</v>
      </c>
      <c r="C193" s="167" t="s">
        <v>560</v>
      </c>
      <c r="D193" s="167" t="s">
        <v>242</v>
      </c>
      <c r="E193" s="167" t="s">
        <v>560</v>
      </c>
      <c r="F193" s="167" t="s">
        <v>561</v>
      </c>
      <c r="G193" s="167" t="s">
        <v>458</v>
      </c>
      <c r="H193" s="167">
        <v>65950.53</v>
      </c>
    </row>
    <row r="194" spans="1:8" s="167" customFormat="1" x14ac:dyDescent="0.2">
      <c r="A194" s="167" t="s">
        <v>226</v>
      </c>
      <c r="B194" s="167" t="s">
        <v>242</v>
      </c>
      <c r="C194" s="167" t="s">
        <v>562</v>
      </c>
      <c r="D194" s="167" t="s">
        <v>242</v>
      </c>
      <c r="E194" s="167" t="s">
        <v>562</v>
      </c>
      <c r="F194" s="167" t="s">
        <v>563</v>
      </c>
      <c r="G194" s="167" t="s">
        <v>458</v>
      </c>
      <c r="H194" s="167">
        <v>406.27499999999998</v>
      </c>
    </row>
    <row r="195" spans="1:8" s="167" customFormat="1" x14ac:dyDescent="0.2">
      <c r="A195" s="167" t="s">
        <v>226</v>
      </c>
      <c r="B195" s="167" t="s">
        <v>242</v>
      </c>
      <c r="C195" s="167" t="s">
        <v>564</v>
      </c>
      <c r="D195" s="167" t="s">
        <v>242</v>
      </c>
      <c r="E195" s="167" t="s">
        <v>564</v>
      </c>
      <c r="F195" s="167" t="s">
        <v>565</v>
      </c>
      <c r="G195" s="167" t="s">
        <v>458</v>
      </c>
      <c r="H195" s="167">
        <v>3121</v>
      </c>
    </row>
    <row r="196" spans="1:8" s="167" customFormat="1" x14ac:dyDescent="0.2">
      <c r="A196" s="167" t="s">
        <v>226</v>
      </c>
      <c r="B196" s="167" t="s">
        <v>242</v>
      </c>
      <c r="C196" s="167" t="s">
        <v>566</v>
      </c>
      <c r="D196" s="167" t="s">
        <v>242</v>
      </c>
      <c r="E196" s="167" t="s">
        <v>566</v>
      </c>
      <c r="F196" s="167" t="s">
        <v>567</v>
      </c>
      <c r="G196" s="167" t="s">
        <v>458</v>
      </c>
      <c r="H196" s="167">
        <v>745.40800000000002</v>
      </c>
    </row>
    <row r="197" spans="1:8" s="167" customFormat="1" x14ac:dyDescent="0.2">
      <c r="A197" s="167" t="s">
        <v>247</v>
      </c>
      <c r="B197" s="167" t="s">
        <v>226</v>
      </c>
      <c r="C197" s="167" t="s">
        <v>226</v>
      </c>
      <c r="D197" s="167" t="s">
        <v>226</v>
      </c>
      <c r="E197" s="167" t="s">
        <v>226</v>
      </c>
      <c r="F197" s="167" t="s">
        <v>568</v>
      </c>
      <c r="G197" s="167" t="s">
        <v>226</v>
      </c>
      <c r="H197" s="167">
        <v>0</v>
      </c>
    </row>
    <row r="198" spans="1:8" s="167" customFormat="1" x14ac:dyDescent="0.2">
      <c r="A198" s="167" t="s">
        <v>226</v>
      </c>
      <c r="B198" s="167" t="s">
        <v>242</v>
      </c>
      <c r="C198" s="167" t="s">
        <v>569</v>
      </c>
      <c r="D198" s="167" t="s">
        <v>242</v>
      </c>
      <c r="E198" s="167" t="s">
        <v>569</v>
      </c>
      <c r="F198" s="167" t="s">
        <v>570</v>
      </c>
      <c r="G198" s="167" t="s">
        <v>458</v>
      </c>
      <c r="H198" s="167">
        <v>-65726.464999999997</v>
      </c>
    </row>
    <row r="199" spans="1:8" s="167" customFormat="1" x14ac:dyDescent="0.2">
      <c r="A199" s="167" t="s">
        <v>226</v>
      </c>
      <c r="B199" s="167" t="s">
        <v>230</v>
      </c>
      <c r="C199" s="167" t="s">
        <v>569</v>
      </c>
      <c r="D199" s="167" t="s">
        <v>230</v>
      </c>
      <c r="E199" s="167" t="s">
        <v>569</v>
      </c>
      <c r="F199" s="167" t="s">
        <v>570</v>
      </c>
      <c r="G199" s="167" t="s">
        <v>458</v>
      </c>
      <c r="H199" s="167">
        <v>65726.464999999997</v>
      </c>
    </row>
    <row r="200" spans="1:8" s="167" customFormat="1" x14ac:dyDescent="0.2">
      <c r="A200" s="167" t="s">
        <v>226</v>
      </c>
      <c r="B200" s="167" t="s">
        <v>242</v>
      </c>
      <c r="C200" s="167" t="s">
        <v>571</v>
      </c>
      <c r="D200" s="167" t="s">
        <v>242</v>
      </c>
      <c r="E200" s="167" t="s">
        <v>571</v>
      </c>
      <c r="F200" s="167" t="s">
        <v>572</v>
      </c>
      <c r="G200" s="167" t="s">
        <v>458</v>
      </c>
      <c r="H200" s="167">
        <v>-1375.471</v>
      </c>
    </row>
    <row r="201" spans="1:8" s="167" customFormat="1" x14ac:dyDescent="0.2">
      <c r="A201" s="167" t="s">
        <v>226</v>
      </c>
      <c r="B201" s="167" t="s">
        <v>230</v>
      </c>
      <c r="C201" s="167" t="s">
        <v>571</v>
      </c>
      <c r="D201" s="167" t="s">
        <v>230</v>
      </c>
      <c r="E201" s="167" t="s">
        <v>571</v>
      </c>
      <c r="F201" s="167" t="s">
        <v>572</v>
      </c>
      <c r="G201" s="167" t="s">
        <v>458</v>
      </c>
      <c r="H201" s="167">
        <v>1375.471</v>
      </c>
    </row>
    <row r="202" spans="1:8" s="167" customFormat="1" x14ac:dyDescent="0.2">
      <c r="A202" s="167" t="s">
        <v>226</v>
      </c>
      <c r="B202" s="167" t="s">
        <v>230</v>
      </c>
      <c r="C202" s="167" t="s">
        <v>573</v>
      </c>
      <c r="D202" s="167" t="s">
        <v>230</v>
      </c>
      <c r="E202" s="167" t="s">
        <v>573</v>
      </c>
      <c r="F202" s="167" t="s">
        <v>574</v>
      </c>
      <c r="G202" s="167" t="s">
        <v>458</v>
      </c>
      <c r="H202" s="167">
        <v>417.35599999999999</v>
      </c>
    </row>
    <row r="203" spans="1:8" s="167" customFormat="1" x14ac:dyDescent="0.2">
      <c r="A203" s="167" t="s">
        <v>228</v>
      </c>
      <c r="B203" s="167" t="s">
        <v>226</v>
      </c>
      <c r="C203" s="167" t="s">
        <v>226</v>
      </c>
      <c r="D203" s="167" t="s">
        <v>226</v>
      </c>
      <c r="E203" s="167" t="s">
        <v>226</v>
      </c>
      <c r="F203" s="167" t="s">
        <v>575</v>
      </c>
      <c r="G203" s="167" t="s">
        <v>226</v>
      </c>
      <c r="H203" s="167">
        <v>0</v>
      </c>
    </row>
    <row r="204" spans="1:8" s="167" customFormat="1" x14ac:dyDescent="0.2">
      <c r="A204" s="167" t="s">
        <v>226</v>
      </c>
      <c r="B204" s="167" t="s">
        <v>242</v>
      </c>
      <c r="C204" s="167" t="s">
        <v>576</v>
      </c>
      <c r="D204" s="167" t="s">
        <v>242</v>
      </c>
      <c r="E204" s="167" t="s">
        <v>576</v>
      </c>
      <c r="F204" s="167" t="s">
        <v>577</v>
      </c>
      <c r="G204" s="167" t="s">
        <v>458</v>
      </c>
      <c r="H204" s="167">
        <v>-22915.258000000002</v>
      </c>
    </row>
    <row r="205" spans="1:8" s="167" customFormat="1" x14ac:dyDescent="0.2">
      <c r="A205" s="167" t="s">
        <v>226</v>
      </c>
      <c r="B205" s="167" t="s">
        <v>230</v>
      </c>
      <c r="C205" s="167" t="s">
        <v>576</v>
      </c>
      <c r="D205" s="167" t="s">
        <v>230</v>
      </c>
      <c r="E205" s="167" t="s">
        <v>576</v>
      </c>
      <c r="F205" s="167" t="s">
        <v>577</v>
      </c>
      <c r="G205" s="167" t="s">
        <v>458</v>
      </c>
      <c r="H205" s="167">
        <v>57984.423999999999</v>
      </c>
    </row>
    <row r="206" spans="1:8" s="167" customFormat="1" x14ac:dyDescent="0.2">
      <c r="A206" s="167" t="s">
        <v>226</v>
      </c>
      <c r="B206" s="167" t="s">
        <v>242</v>
      </c>
      <c r="C206" s="167" t="s">
        <v>578</v>
      </c>
      <c r="D206" s="167" t="s">
        <v>242</v>
      </c>
      <c r="E206" s="167" t="s">
        <v>578</v>
      </c>
      <c r="F206" s="167" t="s">
        <v>579</v>
      </c>
      <c r="G206" s="167" t="s">
        <v>458</v>
      </c>
      <c r="H206" s="167">
        <v>-131014.966</v>
      </c>
    </row>
    <row r="207" spans="1:8" s="167" customFormat="1" x14ac:dyDescent="0.2">
      <c r="A207" s="167" t="s">
        <v>226</v>
      </c>
      <c r="B207" s="167" t="s">
        <v>230</v>
      </c>
      <c r="C207" s="167" t="s">
        <v>578</v>
      </c>
      <c r="D207" s="167" t="s">
        <v>230</v>
      </c>
      <c r="E207" s="167" t="s">
        <v>578</v>
      </c>
      <c r="F207" s="167" t="s">
        <v>579</v>
      </c>
      <c r="G207" s="167" t="s">
        <v>458</v>
      </c>
      <c r="H207" s="167">
        <v>412739.96600000001</v>
      </c>
    </row>
    <row r="208" spans="1:8" s="167" customFormat="1" x14ac:dyDescent="0.2">
      <c r="A208" s="167" t="s">
        <v>226</v>
      </c>
      <c r="B208" s="167" t="s">
        <v>242</v>
      </c>
      <c r="C208" s="167" t="s">
        <v>580</v>
      </c>
      <c r="D208" s="167" t="s">
        <v>242</v>
      </c>
      <c r="E208" s="167" t="s">
        <v>580</v>
      </c>
      <c r="F208" s="167" t="s">
        <v>581</v>
      </c>
      <c r="G208" s="167" t="s">
        <v>458</v>
      </c>
      <c r="H208" s="167">
        <v>-40879.214</v>
      </c>
    </row>
    <row r="209" spans="1:8" s="167" customFormat="1" x14ac:dyDescent="0.2">
      <c r="A209" s="167" t="s">
        <v>226</v>
      </c>
      <c r="B209" s="167" t="s">
        <v>230</v>
      </c>
      <c r="C209" s="167" t="s">
        <v>580</v>
      </c>
      <c r="D209" s="167" t="s">
        <v>230</v>
      </c>
      <c r="E209" s="167" t="s">
        <v>580</v>
      </c>
      <c r="F209" s="167" t="s">
        <v>581</v>
      </c>
      <c r="G209" s="167" t="s">
        <v>458</v>
      </c>
      <c r="H209" s="167">
        <v>161360.85</v>
      </c>
    </row>
    <row r="210" spans="1:8" s="167" customFormat="1" x14ac:dyDescent="0.2">
      <c r="A210" s="167" t="s">
        <v>226</v>
      </c>
      <c r="B210" s="167" t="s">
        <v>242</v>
      </c>
      <c r="C210" s="167" t="s">
        <v>582</v>
      </c>
      <c r="D210" s="167" t="s">
        <v>242</v>
      </c>
      <c r="E210" s="167" t="s">
        <v>582</v>
      </c>
      <c r="F210" s="167" t="s">
        <v>583</v>
      </c>
      <c r="G210" s="167" t="s">
        <v>458</v>
      </c>
      <c r="H210" s="167">
        <v>-3547.2370000000001</v>
      </c>
    </row>
    <row r="211" spans="1:8" s="167" customFormat="1" x14ac:dyDescent="0.2">
      <c r="A211" s="167" t="s">
        <v>226</v>
      </c>
      <c r="B211" s="167" t="s">
        <v>230</v>
      </c>
      <c r="C211" s="167" t="s">
        <v>582</v>
      </c>
      <c r="D211" s="167" t="s">
        <v>230</v>
      </c>
      <c r="E211" s="167" t="s">
        <v>582</v>
      </c>
      <c r="F211" s="167" t="s">
        <v>583</v>
      </c>
      <c r="G211" s="167" t="s">
        <v>458</v>
      </c>
      <c r="H211" s="167">
        <v>21264.607</v>
      </c>
    </row>
    <row r="212" spans="1:8" s="167" customFormat="1" x14ac:dyDescent="0.2">
      <c r="A212" s="167" t="s">
        <v>228</v>
      </c>
      <c r="B212" s="167" t="s">
        <v>226</v>
      </c>
      <c r="C212" s="167" t="s">
        <v>226</v>
      </c>
      <c r="D212" s="167" t="s">
        <v>226</v>
      </c>
      <c r="E212" s="167" t="s">
        <v>226</v>
      </c>
      <c r="F212" s="167" t="s">
        <v>584</v>
      </c>
      <c r="G212" s="167" t="s">
        <v>226</v>
      </c>
      <c r="H212" s="167">
        <v>0</v>
      </c>
    </row>
    <row r="213" spans="1:8" s="167" customFormat="1" x14ac:dyDescent="0.2">
      <c r="A213" s="167" t="s">
        <v>226</v>
      </c>
      <c r="B213" s="167" t="s">
        <v>242</v>
      </c>
      <c r="C213" s="167" t="s">
        <v>585</v>
      </c>
      <c r="D213" s="167" t="s">
        <v>242</v>
      </c>
      <c r="E213" s="167" t="s">
        <v>585</v>
      </c>
      <c r="F213" s="167" t="s">
        <v>586</v>
      </c>
      <c r="G213" s="167" t="s">
        <v>458</v>
      </c>
      <c r="H213" s="167">
        <v>1896.7059999999999</v>
      </c>
    </row>
    <row r="214" spans="1:8" s="167" customFormat="1" x14ac:dyDescent="0.2">
      <c r="A214" s="167" t="s">
        <v>226</v>
      </c>
      <c r="B214" s="167" t="s">
        <v>242</v>
      </c>
      <c r="C214" s="167" t="s">
        <v>587</v>
      </c>
      <c r="D214" s="167" t="s">
        <v>242</v>
      </c>
      <c r="E214" s="167" t="s">
        <v>587</v>
      </c>
      <c r="F214" s="167" t="s">
        <v>588</v>
      </c>
      <c r="G214" s="167" t="s">
        <v>458</v>
      </c>
      <c r="H214" s="167">
        <v>12627.759</v>
      </c>
    </row>
    <row r="215" spans="1:8" s="167" customFormat="1" x14ac:dyDescent="0.2">
      <c r="A215" s="167" t="s">
        <v>226</v>
      </c>
      <c r="B215" s="167" t="s">
        <v>242</v>
      </c>
      <c r="C215" s="167" t="s">
        <v>589</v>
      </c>
      <c r="D215" s="167" t="s">
        <v>242</v>
      </c>
      <c r="E215" s="167" t="s">
        <v>589</v>
      </c>
      <c r="F215" s="167" t="s">
        <v>590</v>
      </c>
      <c r="G215" s="167" t="s">
        <v>458</v>
      </c>
      <c r="H215" s="167">
        <v>98780.702999999994</v>
      </c>
    </row>
    <row r="216" spans="1:8" s="167" customFormat="1" x14ac:dyDescent="0.2">
      <c r="A216" s="167" t="s">
        <v>226</v>
      </c>
      <c r="B216" s="167" t="s">
        <v>230</v>
      </c>
      <c r="C216" s="167" t="s">
        <v>591</v>
      </c>
      <c r="D216" s="167" t="s">
        <v>230</v>
      </c>
      <c r="E216" s="167" t="s">
        <v>591</v>
      </c>
      <c r="F216" s="167" t="s">
        <v>592</v>
      </c>
      <c r="G216" s="167" t="s">
        <v>458</v>
      </c>
      <c r="H216" s="167">
        <v>10.64</v>
      </c>
    </row>
    <row r="217" spans="1:8" s="167" customFormat="1" x14ac:dyDescent="0.2">
      <c r="A217" s="167" t="s">
        <v>226</v>
      </c>
      <c r="B217" s="167" t="s">
        <v>242</v>
      </c>
      <c r="C217" s="167" t="s">
        <v>591</v>
      </c>
      <c r="D217" s="167" t="s">
        <v>242</v>
      </c>
      <c r="E217" s="167" t="s">
        <v>591</v>
      </c>
      <c r="F217" s="167" t="s">
        <v>593</v>
      </c>
      <c r="G217" s="167" t="s">
        <v>458</v>
      </c>
      <c r="H217" s="167">
        <v>29449.097000000002</v>
      </c>
    </row>
    <row r="218" spans="1:8" s="167" customFormat="1" x14ac:dyDescent="0.2">
      <c r="A218" s="167" t="s">
        <v>226</v>
      </c>
      <c r="B218" s="167" t="s">
        <v>230</v>
      </c>
      <c r="C218" s="167" t="s">
        <v>594</v>
      </c>
      <c r="D218" s="167" t="s">
        <v>230</v>
      </c>
      <c r="E218" s="167" t="s">
        <v>594</v>
      </c>
      <c r="F218" s="167" t="s">
        <v>595</v>
      </c>
      <c r="G218" s="167" t="s">
        <v>458</v>
      </c>
      <c r="H218" s="167">
        <v>0.1</v>
      </c>
    </row>
    <row r="219" spans="1:8" s="167" customFormat="1" x14ac:dyDescent="0.2">
      <c r="A219" s="167" t="s">
        <v>226</v>
      </c>
      <c r="B219" s="167" t="s">
        <v>242</v>
      </c>
      <c r="C219" s="167" t="s">
        <v>594</v>
      </c>
      <c r="D219" s="167" t="s">
        <v>242</v>
      </c>
      <c r="E219" s="167" t="s">
        <v>594</v>
      </c>
      <c r="F219" s="167" t="s">
        <v>596</v>
      </c>
      <c r="G219" s="167" t="s">
        <v>458</v>
      </c>
      <c r="H219" s="167">
        <v>5290.5349999999999</v>
      </c>
    </row>
    <row r="220" spans="1:8" s="167" customFormat="1" x14ac:dyDescent="0.2">
      <c r="A220" s="167" t="s">
        <v>226</v>
      </c>
      <c r="B220" s="167" t="s">
        <v>242</v>
      </c>
      <c r="C220" s="167" t="s">
        <v>597</v>
      </c>
      <c r="D220" s="167" t="s">
        <v>242</v>
      </c>
      <c r="E220" s="167" t="s">
        <v>597</v>
      </c>
      <c r="F220" s="167" t="s">
        <v>598</v>
      </c>
      <c r="G220" s="167" t="s">
        <v>458</v>
      </c>
      <c r="H220" s="167">
        <v>30986.786</v>
      </c>
    </row>
    <row r="221" spans="1:8" s="167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VA</vt:lpstr>
      <vt:lpstr>BS&amp;PL</vt:lpstr>
      <vt:lpstr>PY</vt:lpstr>
      <vt:lpstr>CF</vt:lpstr>
      <vt:lpstr>EQT</vt:lpstr>
      <vt:lpstr>BSSH</vt:lpstr>
      <vt:lpstr>RECV</vt:lpstr>
      <vt:lpstr>EXP</vt:lpstr>
      <vt:lpstr>DRS</vt:lpstr>
      <vt:lpstr>ADV</vt:lpstr>
      <vt:lpstr>CRS</vt:lpstr>
      <vt:lpstr>P&amp;L</vt:lpstr>
      <vt:lpstr>ASSET</vt:lpstr>
      <vt:lpstr>GRAPH</vt:lpstr>
      <vt:lpstr>tb</vt:lpstr>
      <vt:lpstr>Chart1</vt:lpstr>
      <vt:lpstr>CRS!Print_Titles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 C Nair</dc:creator>
  <cp:lastModifiedBy>Sachin Kumar</cp:lastModifiedBy>
  <cp:lastPrinted>2019-11-27T14:55:29Z</cp:lastPrinted>
  <dcterms:created xsi:type="dcterms:W3CDTF">1999-03-16T07:58:38Z</dcterms:created>
  <dcterms:modified xsi:type="dcterms:W3CDTF">2020-04-09T10:06:10Z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50548dba-f60c-48d6-9b18-989c2face5f9</vt:lpwstr>
  </property>
</Properties>
</file>